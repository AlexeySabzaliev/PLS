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" sheetId="1" state="visible" r:id="rId3"/>
    <sheet name="ПРР" sheetId="2" state="visible" r:id="rId4"/>
    <sheet name="Допкомплекты" sheetId="3" state="visible" r:id="rId5"/>
  </sheets>
  <definedNames>
    <definedName function="false" hidden="true" localSheetId="1" name="_xlnm._FilterDatabase" vbProcedure="false">ПРР!$A$1:$V$96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<sst xmlns="http://schemas.openxmlformats.org/spreadsheetml/2006/main" count="71" uniqueCount="36">
  <si>
    <t xml:space="preserve">Расчётный период:</t>
  </si>
  <si>
    <t xml:space="preserve">№</t>
  </si>
  <si>
    <t xml:space="preserve">Параметр</t>
  </si>
  <si>
    <t xml:space="preserve">Тариф</t>
  </si>
  <si>
    <t xml:space="preserve">Количество дней</t>
  </si>
  <si>
    <t xml:space="preserve">Количество единиц</t>
  </si>
  <si>
    <t xml:space="preserve">Сумма:</t>
  </si>
  <si>
    <t xml:space="preserve">1.1</t>
  </si>
  <si>
    <t xml:space="preserve">Занимаемая площадь хранения, фиксированный объем, м²</t>
  </si>
  <si>
    <t xml:space="preserve">1.2</t>
  </si>
  <si>
    <t xml:space="preserve">Занимаемая площадь хранения, дополнительный объем, м²</t>
  </si>
  <si>
    <t xml:space="preserve">Ручная обработка (вход и выход), м³</t>
  </si>
  <si>
    <t xml:space="preserve">-</t>
  </si>
  <si>
    <t xml:space="preserve">Механизированная обработка (вход и выход), м³</t>
  </si>
  <si>
    <t xml:space="preserve">4.1</t>
  </si>
  <si>
    <t xml:space="preserve">Количество пакетов документов (машин)</t>
  </si>
  <si>
    <t xml:space="preserve">4.2</t>
  </si>
  <si>
    <t xml:space="preserve">Дополнительные комплекты ТСД = 1:1 Количество пакетов документов (машин)</t>
  </si>
  <si>
    <t xml:space="preserve">4.3</t>
  </si>
  <si>
    <t xml:space="preserve">Паспорта ELCO = 1:1 Количество пакетов документов (машин)</t>
  </si>
  <si>
    <t xml:space="preserve">5.1</t>
  </si>
  <si>
    <t xml:space="preserve">Переупаковка (единиц приборов)</t>
  </si>
  <si>
    <t xml:space="preserve">5.2</t>
  </si>
  <si>
    <t xml:space="preserve">Подклейка клапанов гофрокоробов = 1:1 Переупаковка (единиц приборов)</t>
  </si>
  <si>
    <t xml:space="preserve">5.3</t>
  </si>
  <si>
    <t xml:space="preserve">Стикерование дымоходов = 10:1 Переупаковка (единиц приборов)</t>
  </si>
  <si>
    <t xml:space="preserve">Сверхурочная обработка авто (вход и выход), м³</t>
  </si>
  <si>
    <t xml:space="preserve">Инвентаризация (Использование человеко/часов)</t>
  </si>
  <si>
    <t xml:space="preserve">Слив технологической жидкости с котлов ELCO</t>
  </si>
  <si>
    <t xml:space="preserve">ИТОГО:</t>
  </si>
  <si>
    <t xml:space="preserve">Корректировка расчётного периода 7</t>
  </si>
  <si>
    <t xml:space="preserve">5.</t>
  </si>
  <si>
    <t xml:space="preserve">Итого: расчётный период 8, включая корректировку расчётного периода 7</t>
  </si>
  <si>
    <t xml:space="preserve">Сборка на паллеты</t>
  </si>
  <si>
    <t xml:space="preserve">Основной комплект</t>
  </si>
  <si>
    <t xml:space="preserve">Дополнительные комплекты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</si>
</sst>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[$ ₽]"/>
    <numFmt numFmtId="167" formatCode="0.00"/>
    <numFmt numFmtId="168" formatCode="hh:mm"/>
    <numFmt numFmtId="169" formatCode="dd/mm/yyyy"/>
  </numFmts>
  <fonts count="11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79.86"/>
    <col collapsed="false" customWidth="true" hidden="false" outlineLevel="0" max="3" min="3" style="1" width="12.88"/>
    <col collapsed="false" customWidth="true" hidden="false" outlineLevel="0" max="4" min="4" style="1" width="15"/>
    <col collapsed="false" customWidth="true" hidden="false" outlineLevel="0" max="5" min="5" style="1" width="16.12"/>
    <col collapsed="false" customWidth="true" hidden="false" outlineLevel="0" max="6" min="6" style="1" width="17.75"/>
    <col collapsed="false" customWidth="true" hidden="false" outlineLevel="0" max="9" min="7" style="1" width="8.25"/>
    <col collapsed="false" customWidth="false" hidden="false" outlineLevel="0" max="16384" min="10" style="1" width="12.63"/>
  </cols>
  <sheetData>
    <row r="1" customFormat="false" ht="15.75" hidden="false" customHeight="false" outlineLevel="0" collapsed="false">
      <c r="A1" s="2"/>
      <c r="B1" s="2" t="s">
        <v>0</v>
      </c>
      <c r="C1" s="3" t="n">
        <v>8</v>
      </c>
      <c r="D1" s="3"/>
      <c r="E1" s="3"/>
      <c r="F1" s="3"/>
      <c r="G1" s="4"/>
      <c r="H1" s="4"/>
      <c r="I1" s="4"/>
    </row>
    <row r="2" customFormat="false" ht="15.75" hidden="false" customHeight="false" outlineLevel="0" collapsed="false">
      <c r="A2" s="5"/>
      <c r="B2" s="5"/>
      <c r="C2" s="4"/>
      <c r="D2" s="4"/>
      <c r="E2" s="4"/>
      <c r="F2" s="4"/>
      <c r="G2" s="4"/>
      <c r="H2" s="4"/>
      <c r="I2" s="4"/>
    </row>
    <row r="3" customFormat="false" ht="15.75" hidden="false" customHeight="fals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/>
      <c r="H3" s="5"/>
      <c r="I3" s="5"/>
    </row>
    <row r="4" customFormat="false" ht="15.75" hidden="false" customHeight="false" outlineLevel="0" collapsed="false">
      <c r="A4" s="6" t="s">
        <v>7</v>
      </c>
      <c r="B4" s="1" t="s">
        <v>8</v>
      </c>
      <c r="C4" s="7" t="n">
        <v>24</v>
      </c>
      <c r="D4" s="8" t="n">
        <v>31</v>
      </c>
      <c r="E4" s="9" t="n">
        <v>9435</v>
      </c>
      <c r="F4" s="7" t="n">
        <f aca="false">C4*D4*E4</f>
        <v>7019640</v>
      </c>
      <c r="G4" s="8"/>
      <c r="H4" s="8"/>
      <c r="I4" s="8"/>
    </row>
    <row r="5" customFormat="false" ht="15.75" hidden="false" customHeight="false" outlineLevel="0" collapsed="false">
      <c r="A5" s="6" t="s">
        <v>9</v>
      </c>
      <c r="B5" s="1" t="s">
        <v>10</v>
      </c>
      <c r="C5" s="7" t="n">
        <v>24</v>
      </c>
      <c r="D5" s="8" t="n">
        <v>31</v>
      </c>
      <c r="E5" s="9" t="n">
        <v>2300</v>
      </c>
      <c r="F5" s="7" t="n">
        <f aca="false">C5*D5*E5</f>
        <v>1711200</v>
      </c>
      <c r="G5" s="8"/>
      <c r="H5" s="8"/>
      <c r="I5" s="8"/>
    </row>
    <row r="6" customFormat="false" ht="15.75" hidden="false" customHeight="false" outlineLevel="0" collapsed="false">
      <c r="A6" s="8" t="n">
        <v>2</v>
      </c>
      <c r="B6" s="1" t="s">
        <v>11</v>
      </c>
      <c r="C6" s="7" t="n">
        <v>250</v>
      </c>
      <c r="D6" s="8" t="s">
        <v>12</v>
      </c>
      <c r="E6" s="9" t="n">
        <f aca="false">52.776+2814.238</f>
        <v>2867.014</v>
      </c>
      <c r="F6" s="7" t="n">
        <f aca="false">C6*E6</f>
        <v>716753.5</v>
      </c>
      <c r="G6" s="8"/>
      <c r="H6" s="8"/>
      <c r="I6" s="8"/>
    </row>
    <row r="7" customFormat="false" ht="15.75" hidden="false" customHeight="false" outlineLevel="0" collapsed="false">
      <c r="A7" s="8" t="n">
        <v>3</v>
      </c>
      <c r="B7" s="1" t="s">
        <v>13</v>
      </c>
      <c r="C7" s="7" t="n">
        <v>180</v>
      </c>
      <c r="D7" s="8" t="s">
        <v>12</v>
      </c>
      <c r="E7" s="9" t="n">
        <v>1564.572</v>
      </c>
      <c r="F7" s="7" t="n">
        <f aca="false">C7*E7</f>
        <v>281622.96</v>
      </c>
      <c r="G7" s="8"/>
      <c r="H7" s="8"/>
      <c r="I7" s="8"/>
    </row>
    <row r="8" customFormat="false" ht="15.75" hidden="false" customHeight="false" outlineLevel="0" collapsed="false">
      <c r="A8" s="8" t="s">
        <v>14</v>
      </c>
      <c r="B8" s="1" t="s">
        <v>15</v>
      </c>
      <c r="C8" s="7" t="n">
        <v>109.52</v>
      </c>
      <c r="D8" s="8" t="s">
        <v>12</v>
      </c>
      <c r="E8" s="9" t="n">
        <v>94</v>
      </c>
      <c r="F8" s="7" t="n">
        <f aca="false">C8*E8</f>
        <v>10294.88</v>
      </c>
      <c r="G8" s="8"/>
      <c r="H8" s="8"/>
      <c r="I8" s="8"/>
    </row>
    <row r="9" customFormat="false" ht="15.75" hidden="false" customHeight="false" outlineLevel="0" collapsed="false">
      <c r="A9" s="8" t="s">
        <v>16</v>
      </c>
      <c r="B9" s="1" t="s">
        <v>17</v>
      </c>
      <c r="C9" s="7" t="n">
        <v>109.52</v>
      </c>
      <c r="D9" s="8" t="s">
        <v>12</v>
      </c>
      <c r="E9" s="9" t="n">
        <v>116</v>
      </c>
      <c r="F9" s="7" t="n">
        <f aca="false">C9*E9</f>
        <v>12704.32</v>
      </c>
      <c r="G9" s="8"/>
      <c r="H9" s="8"/>
      <c r="I9" s="8"/>
    </row>
    <row r="10" customFormat="false" ht="15.75" hidden="false" customHeight="false" outlineLevel="0" collapsed="false">
      <c r="A10" s="8" t="s">
        <v>18</v>
      </c>
      <c r="B10" s="1" t="s">
        <v>19</v>
      </c>
      <c r="C10" s="7" t="n">
        <v>109.52</v>
      </c>
      <c r="D10" s="8" t="s">
        <v>12</v>
      </c>
      <c r="E10" s="9" t="n">
        <v>67</v>
      </c>
      <c r="F10" s="7" t="n">
        <f aca="false">C10*E10</f>
        <v>7337.84</v>
      </c>
      <c r="G10" s="8"/>
      <c r="H10" s="8"/>
      <c r="I10" s="8"/>
    </row>
    <row r="11" customFormat="false" ht="15.75" hidden="false" customHeight="false" outlineLevel="0" collapsed="false">
      <c r="A11" s="8" t="s">
        <v>20</v>
      </c>
      <c r="B11" s="1" t="s">
        <v>21</v>
      </c>
      <c r="C11" s="7" t="n">
        <v>219.04</v>
      </c>
      <c r="D11" s="8" t="s">
        <v>12</v>
      </c>
      <c r="E11" s="9" t="n">
        <v>107</v>
      </c>
      <c r="F11" s="7" t="n">
        <f aca="false">C11*E11</f>
        <v>23437.28</v>
      </c>
      <c r="G11" s="8"/>
      <c r="H11" s="8"/>
      <c r="I11" s="8"/>
    </row>
    <row r="12" customFormat="false" ht="15.75" hidden="false" customHeight="false" outlineLevel="0" collapsed="false">
      <c r="A12" s="8" t="s">
        <v>22</v>
      </c>
      <c r="B12" s="1" t="s">
        <v>23</v>
      </c>
      <c r="C12" s="7" t="n">
        <v>219.04</v>
      </c>
      <c r="D12" s="8" t="s">
        <v>12</v>
      </c>
      <c r="E12" s="9" t="n">
        <v>374</v>
      </c>
      <c r="F12" s="7" t="n">
        <f aca="false">C12*E12</f>
        <v>81920.96</v>
      </c>
      <c r="G12" s="8"/>
      <c r="H12" s="8"/>
      <c r="I12" s="8"/>
    </row>
    <row r="13" customFormat="false" ht="15.75" hidden="false" customHeight="false" outlineLevel="0" collapsed="false">
      <c r="A13" s="8" t="s">
        <v>24</v>
      </c>
      <c r="B13" s="1" t="s">
        <v>25</v>
      </c>
      <c r="C13" s="7" t="n">
        <v>219.04</v>
      </c>
      <c r="D13" s="8" t="s">
        <v>12</v>
      </c>
      <c r="E13" s="9" t="n">
        <v>1595</v>
      </c>
      <c r="F13" s="7" t="n">
        <f aca="false">C13*(_xlfn.CEILING.MATH(E13/10))</f>
        <v>35046.4</v>
      </c>
      <c r="G13" s="8"/>
      <c r="H13" s="8"/>
      <c r="I13" s="8"/>
    </row>
    <row r="14" customFormat="false" ht="15.75" hidden="false" customHeight="false" outlineLevel="0" collapsed="false">
      <c r="A14" s="8" t="n">
        <v>6</v>
      </c>
      <c r="B14" s="1" t="s">
        <v>26</v>
      </c>
      <c r="C14" s="7" t="n">
        <v>438.08</v>
      </c>
      <c r="D14" s="8" t="s">
        <v>12</v>
      </c>
      <c r="E14" s="9" t="n">
        <v>0</v>
      </c>
      <c r="F14" s="7" t="n">
        <f aca="false">C14*E14</f>
        <v>0</v>
      </c>
      <c r="G14" s="8"/>
      <c r="H14" s="8"/>
      <c r="I14" s="8"/>
    </row>
    <row r="15" customFormat="false" ht="15.75" hidden="false" customHeight="false" outlineLevel="0" collapsed="false">
      <c r="A15" s="8" t="n">
        <v>7</v>
      </c>
      <c r="B15" s="1" t="s">
        <v>27</v>
      </c>
      <c r="C15" s="7" t="n">
        <v>985.68</v>
      </c>
      <c r="D15" s="8" t="s">
        <v>12</v>
      </c>
      <c r="E15" s="9" t="n">
        <v>0</v>
      </c>
      <c r="F15" s="7" t="n">
        <f aca="false">C15*E15</f>
        <v>0</v>
      </c>
      <c r="G15" s="8"/>
      <c r="H15" s="8"/>
      <c r="I15" s="8"/>
    </row>
    <row r="16" customFormat="false" ht="15.75" hidden="false" customHeight="false" outlineLevel="0" collapsed="false">
      <c r="A16" s="4" t="n">
        <v>8</v>
      </c>
      <c r="B16" s="5" t="s">
        <v>28</v>
      </c>
      <c r="C16" s="7" t="n">
        <v>985.68</v>
      </c>
      <c r="D16" s="8" t="s">
        <v>12</v>
      </c>
      <c r="E16" s="9" t="n">
        <v>0</v>
      </c>
      <c r="F16" s="7" t="n">
        <f aca="false">C16*E16</f>
        <v>0</v>
      </c>
    </row>
    <row r="17" customFormat="false" ht="15.75" hidden="false" customHeight="false" outlineLevel="0" collapsed="false">
      <c r="E17" s="2" t="s">
        <v>29</v>
      </c>
      <c r="F17" s="10" t="n">
        <f aca="false">SUM(F4:F16)</f>
        <v>9899958.14</v>
      </c>
    </row>
    <row r="20" customFormat="false" ht="15.75" hidden="false" customHeight="true" outlineLevel="0" collapsed="false">
      <c r="A20" s="11" t="s">
        <v>30</v>
      </c>
      <c r="B20" s="12"/>
      <c r="C20" s="12"/>
      <c r="D20" s="12"/>
      <c r="E20" s="12"/>
      <c r="F20" s="12"/>
    </row>
    <row r="22" customFormat="false" ht="15.75" hidden="false" customHeight="false" outlineLevel="0" collapsed="false">
      <c r="A22" s="2"/>
      <c r="B22" s="2" t="s">
        <v>0</v>
      </c>
      <c r="C22" s="3" t="n">
        <v>7</v>
      </c>
      <c r="D22" s="3"/>
      <c r="E22" s="3"/>
      <c r="F22" s="3"/>
    </row>
    <row r="23" customFormat="false" ht="15.75" hidden="false" customHeight="false" outlineLevel="0" collapsed="false">
      <c r="A23" s="5"/>
      <c r="B23" s="5"/>
      <c r="C23" s="4"/>
      <c r="D23" s="4"/>
      <c r="E23" s="4"/>
      <c r="F23" s="4"/>
    </row>
    <row r="24" customFormat="false" ht="15.75" hidden="false" customHeight="false" outlineLevel="0" collapsed="false">
      <c r="A24" s="5" t="s">
        <v>1</v>
      </c>
      <c r="B24" s="5" t="s">
        <v>2</v>
      </c>
      <c r="C24" s="5" t="s">
        <v>3</v>
      </c>
      <c r="D24" s="5" t="s">
        <v>4</v>
      </c>
      <c r="E24" s="5" t="s">
        <v>5</v>
      </c>
      <c r="F24" s="5" t="s">
        <v>6</v>
      </c>
    </row>
    <row r="25" customFormat="false" ht="15.75" hidden="false" customHeight="true" outlineLevel="0" collapsed="false">
      <c r="A25" s="8" t="s">
        <v>31</v>
      </c>
      <c r="B25" s="1" t="s">
        <v>21</v>
      </c>
      <c r="C25" s="7" t="n">
        <v>219.04</v>
      </c>
      <c r="D25" s="8" t="s">
        <v>12</v>
      </c>
      <c r="E25" s="9" t="n">
        <v>21</v>
      </c>
      <c r="F25" s="7" t="n">
        <f aca="false">C25*E25</f>
        <v>4599.84</v>
      </c>
    </row>
    <row r="26" customFormat="false" ht="15.75" hidden="false" customHeight="true" outlineLevel="0" collapsed="false">
      <c r="E26" s="2" t="s">
        <v>29</v>
      </c>
      <c r="F26" s="10" t="n">
        <f aca="false">SUM(F25)</f>
        <v>4599.84</v>
      </c>
    </row>
    <row r="29" customFormat="false" ht="15.75" hidden="false" customHeight="true" outlineLevel="0" collapsed="false">
      <c r="A29" s="13" t="s">
        <v>32</v>
      </c>
      <c r="B29" s="14"/>
      <c r="C29" s="14"/>
      <c r="D29" s="14"/>
      <c r="E29" s="14"/>
      <c r="F29" s="15" t="n">
        <f aca="false">F26+F17</f>
        <v>9904557.98</v>
      </c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D86" colorId="64" zoomScale="100" zoomScaleNormal="100" zoomScalePageLayoutView="100" workbookViewId="0">
      <selection pane="topLeft" activeCell="L2" activeCellId="0" sqref="L2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9" min="6" style="16" width="12.63"/>
    <col collapsed="false" customWidth="true" hidden="false" outlineLevel="0" max="16384" min="16382" style="17" width="11.53"/>
  </cols>
  <sheetData>
    <row r="1" customFormat="false" ht="15.75" hidden="false" customHeight="false" outlineLevel="0" collapsed="false">
      <c r="A1" s="18" t="str">
        <f aca="false">IFERROR(__xludf.dummyfunction("""COMPUTED_VALUE"""),"Дата отчета")</f>
        <v>Дата отчета</v>
      </c>
      <c r="B1" s="18" t="str">
        <f aca="false">IFERROR(__xludf.dummyfunction("""COMPUTED_VALUE"""),"Номер накладной")</f>
        <v>Номер накладной</v>
      </c>
      <c r="C1" s="18" t="str">
        <f aca="false">IFERROR(__xludf.dummyfunction("""COMPUTED_VALUE"""),"Номер ТС:")</f>
        <v>Номер ТС:</v>
      </c>
      <c r="D1" s="18" t="str">
        <f aca="false">IFERROR(__xludf.dummyfunction("""COMPUTED_VALUE"""),"Тип операции")</f>
        <v>Тип операции</v>
      </c>
      <c r="E1" s="18" t="str">
        <f aca="false">IFERROR(__xludf.dummyfunction("""COMPUTED_VALUE"""),"Сверхурочные ПРР")</f>
        <v>Сверхурочные ПРР</v>
      </c>
      <c r="F1" s="19" t="str">
        <f aca="false">IFERROR(__xludf.dummyfunction("""COMPUTED_VALUE"""),"Время регистрации ТС в офисе:")</f>
        <v>Время регистрации ТС в офисе:</v>
      </c>
      <c r="G1" s="19" t="str">
        <f aca="false">IFERROR(__xludf.dummyfunction("""COMPUTED_VALUE"""),"Время начала ПРР:")</f>
        <v>Время начала ПРР:</v>
      </c>
      <c r="H1" s="19" t="str">
        <f aca="false">IFERROR(__xludf.dummyfunction("""COMPUTED_VALUE"""),"Время окончания ПРР:")</f>
        <v>Время окончания ПРР:</v>
      </c>
      <c r="I1" s="19" t="str">
        <f aca="false">IFERROR(__xludf.dummyfunction("""COMPUTED_VALUE"""),"Время убытия ТС:")</f>
        <v>Время убытия ТС:</v>
      </c>
      <c r="J1" s="18" t="str">
        <f aca="false">IFERROR(__xludf.dummyfunction("""COMPUTED_VALUE"""),"Объем груза по документам (м³)")</f>
        <v>Объем груза по документам (м³)</v>
      </c>
      <c r="K1" s="18" t="str">
        <f aca="false">IFERROR(__xludf.dummyfunction("""COMPUTED_VALUE"""),"Входящая поставка, механическая выгрузка, (м³)")</f>
        <v>Входящая поставка, механическая выгрузка, (м³)</v>
      </c>
      <c r="L1" s="18" t="str">
        <f aca="false">IFERROR(__xludf.dummyfunction("""COMPUTED_VALUE"""),"Входящая поставка, ручная выгрузка, (м³)")</f>
        <v>Входящая поставка, ручная выгрузка, (м³)</v>
      </c>
      <c r="M1" s="18" t="str">
        <f aca="false">IFERROR(__xludf.dummyfunction("""COMPUTED_VALUE"""),"Исходящая поставка, механическая погрузка, (м³)")</f>
        <v>Исходящая поставка, механическая погрузка, (м³)</v>
      </c>
      <c r="N1" s="18" t="str">
        <f aca="false">IFERROR(__xludf.dummyfunction("""COMPUTED_VALUE"""),"Исходящая поставка, ручная погрузка, (м³)")</f>
        <v>Исходящая поставка, ручная погрузка, (м³)</v>
      </c>
      <c r="O1" s="18" t="str">
        <f aca="false">IFERROR(__xludf.dummyfunction("""COMPUTED_VALUE"""),"Переупаковка ")</f>
        <v>Переупаковка </v>
      </c>
      <c r="P1" s="18" t="str">
        <f aca="false">IFERROR(__xludf.dummyfunction("""COMPUTED_VALUE"""),"Состояние груза после выгрузки:")</f>
        <v>Состояние груза после выгрузки:</v>
      </c>
      <c r="Q1" s="18" t="str">
        <f aca="false">IFERROR(__xludf.dummyfunction("""COMPUTED_VALUE"""),"№ акта ТОРГ-2")</f>
        <v>№ акта ТОРГ-2</v>
      </c>
      <c r="R1" s="18" t="str">
        <f aca="false">IFERROR(__xludf.dummyfunction("""COMPUTED_VALUE"""),"№ МХ-1")</f>
        <v>№ МХ-1</v>
      </c>
      <c r="S1" s="18" t="str">
        <f aca="false">IFERROR(__xludf.dummyfunction("""COMPUTED_VALUE"""),"№ МХ-3")</f>
        <v>№ МХ-3</v>
      </c>
      <c r="T1" s="18" t="str">
        <f aca="false">IFERROR(__xludf.dummyfunction("""COMPUTED_VALUE"""),"№ пломбы")</f>
        <v>№ пломбы</v>
      </c>
      <c r="U1" s="18" t="str">
        <f aca="false">IFERROR(__xludf.dummyfunction("""COMPUTED_VALUE"""),"Габариты ТС")</f>
        <v>Габариты ТС</v>
      </c>
      <c r="V1" s="18" t="str">
        <f aca="false">IFERROR(__xludf.dummyfunction("""COMPUTED_VALUE"""),"Под ТС подали рефрижератор")</f>
        <v>Под ТС подали рефрижератор</v>
      </c>
    </row>
    <row r="2" customFormat="false" ht="15.75" hidden="false" customHeight="false" outlineLevel="0" collapsed="false">
      <c r="A2" s="20" t="n">
        <f aca="false">IFERROR(__xludf.dummyfunction("""COMPUTED_VALUE"""),46237)</f>
        <v>46237</v>
      </c>
      <c r="B2" s="18" t="str">
        <f aca="false">IFERROR(__xludf.dummyfunction("""COMPUTED_VALUE"""),"8008501729/8008502144")</f>
        <v>8008501729/8008502144</v>
      </c>
      <c r="C2" s="18" t="str">
        <f aca="false">IFERROR(__xludf.dummyfunction("""COMPUTED_VALUE"""),"А613СС198")</f>
        <v>А613СС198</v>
      </c>
      <c r="D2" s="18" t="str">
        <f aca="false">IFERROR(__xludf.dummyfunction("""COMPUTED_VALUE"""),"Отгрузка")</f>
        <v>Отгрузка</v>
      </c>
      <c r="E2" s="18" t="str">
        <f aca="false">IFERROR(__xludf.dummyfunction("""COMPUTED_VALUE"""),"Нет")</f>
        <v>Нет</v>
      </c>
      <c r="F2" s="19" t="n">
        <f aca="false">IFERROR(__xludf.dummyfunction("""COMPUTED_VALUE"""),0.520833333335759)</f>
        <v>0.520833333335759</v>
      </c>
      <c r="G2" s="19" t="n">
        <f aca="false">IFERROR(__xludf.dummyfunction("""COMPUTED_VALUE"""),0.538194444445253)</f>
        <v>0.538194444445253</v>
      </c>
      <c r="H2" s="19" t="n">
        <f aca="false">IFERROR(__xludf.dummyfunction("""COMPUTED_VALUE"""),0.541666666664241)</f>
        <v>0.541666666664241</v>
      </c>
      <c r="I2" s="19" t="n">
        <f aca="false">IFERROR(__xludf.dummyfunction("""COMPUTED_VALUE"""),0.583333333335759)</f>
        <v>0.583333333335759</v>
      </c>
      <c r="J2" s="18" t="n">
        <f aca="false">IFERROR(__xludf.dummyfunction("""COMPUTED_VALUE"""),9.852)</f>
        <v>9.852</v>
      </c>
      <c r="K2" s="18" t="n">
        <f aca="false">IFERROR(__xludf.dummyfunction("""COMPUTED_VALUE"""),0)</f>
        <v>0</v>
      </c>
      <c r="L2" s="18" t="n">
        <f aca="false">IFERROR(__xludf.dummyfunction("""COMPUTED_VALUE"""),0)</f>
        <v>0</v>
      </c>
      <c r="M2" s="18" t="n">
        <f aca="false">IFERROR(__xludf.dummyfunction("""COMPUTED_VALUE"""),0)</f>
        <v>0</v>
      </c>
      <c r="N2" s="18" t="n">
        <f aca="false">IFERROR(__xludf.dummyfunction("""COMPUTED_VALUE"""),9.852)</f>
        <v>9.852</v>
      </c>
      <c r="O2" s="18" t="n">
        <f aca="false">IFERROR(__xludf.dummyfunction("""COMPUTED_VALUE"""),0)</f>
        <v>0</v>
      </c>
      <c r="P2" s="18"/>
      <c r="Q2" s="18"/>
      <c r="R2" s="18" t="n">
        <f aca="false">IFERROR(__xludf.dummyfunction("""COMPUTED_VALUE"""),0)</f>
        <v>0</v>
      </c>
      <c r="S2" s="18" t="str">
        <f aca="false">IFERROR(__xludf.dummyfunction("""COMPUTED_VALUE"""),"8008501729/8008502144")</f>
        <v>8008501729/8008502144</v>
      </c>
      <c r="T2" s="18" t="n">
        <f aca="false">IFERROR(__xludf.dummyfunction("""COMPUTED_VALUE"""),30994868)</f>
        <v>30994868</v>
      </c>
      <c r="U2" s="18" t="str">
        <f aca="false">IFERROR(__xludf.dummyfunction("""COMPUTED_VALUE"""),"6*2*2")</f>
        <v>6*2*2</v>
      </c>
      <c r="V2" s="18" t="str">
        <f aca="false">IFERROR(__xludf.dummyfunction("""COMPUTED_VALUE"""),"Нет")</f>
        <v>Нет</v>
      </c>
    </row>
    <row r="3" customFormat="false" ht="15.75" hidden="false" customHeight="false" outlineLevel="0" collapsed="false">
      <c r="A3" s="20" t="n">
        <f aca="false">IFERROR(__xludf.dummyfunction("""COMPUTED_VALUE"""),46237)</f>
        <v>46237</v>
      </c>
      <c r="B3" s="18" t="n">
        <f aca="false">IFERROR(__xludf.dummyfunction("""COMPUTED_VALUE"""),17056644)</f>
        <v>17056644</v>
      </c>
      <c r="C3" s="18" t="str">
        <f aca="false">IFERROR(__xludf.dummyfunction("""COMPUTED_VALUE"""),"218CS61//M7161")</f>
        <v>218CS61//M7161</v>
      </c>
      <c r="D3" s="18" t="str">
        <f aca="false">IFERROR(__xludf.dummyfunction("""COMPUTED_VALUE"""),"Приёмка")</f>
        <v>Приёмка</v>
      </c>
      <c r="E3" s="18" t="str">
        <f aca="false">IFERROR(__xludf.dummyfunction("""COMPUTED_VALUE"""),"Нет")</f>
        <v>Нет</v>
      </c>
      <c r="F3" s="19" t="n">
        <f aca="false">IFERROR(__xludf.dummyfunction("""COMPUTED_VALUE"""),0.395833333335759)</f>
        <v>0.395833333335759</v>
      </c>
      <c r="G3" s="19" t="n">
        <f aca="false">IFERROR(__xludf.dummyfunction("""COMPUTED_VALUE"""),0.413194444445253)</f>
        <v>0.413194444445253</v>
      </c>
      <c r="H3" s="19" t="n">
        <f aca="false">IFERROR(__xludf.dummyfunction("""COMPUTED_VALUE"""),0.586805555554747)</f>
        <v>0.586805555554747</v>
      </c>
      <c r="I3" s="19" t="n">
        <f aca="false">IFERROR(__xludf.dummyfunction("""COMPUTED_VALUE"""),0.631944444445253)</f>
        <v>0.631944444445253</v>
      </c>
      <c r="J3" s="18" t="n">
        <f aca="false">IFERROR(__xludf.dummyfunction("""COMPUTED_VALUE"""),90.96)</f>
        <v>90.96</v>
      </c>
      <c r="K3" s="18" t="n">
        <f aca="false">IFERROR(__xludf.dummyfunction("""COMPUTED_VALUE"""),90.96)</f>
        <v>90.96</v>
      </c>
      <c r="L3" s="18" t="n">
        <f aca="false">IFERROR(__xludf.dummyfunction("""COMPUTED_VALUE"""),0)</f>
        <v>0</v>
      </c>
      <c r="M3" s="18" t="n">
        <f aca="false">IFERROR(__xludf.dummyfunction("""COMPUTED_VALUE"""),0)</f>
        <v>0</v>
      </c>
      <c r="N3" s="18" t="n">
        <f aca="false">IFERROR(__xludf.dummyfunction("""COMPUTED_VALUE"""),0)</f>
        <v>0</v>
      </c>
      <c r="O3" s="18" t="n">
        <f aca="false">IFERROR(__xludf.dummyfunction("""COMPUTED_VALUE"""),0)</f>
        <v>0</v>
      </c>
      <c r="P3" s="18" t="str">
        <f aca="false">IFERROR(__xludf.dummyfunction("""COMPUTED_VALUE"""),"Обнаружен пересорт / недостача / избыток")</f>
        <v>Обнаружен пересорт / недостача / избыток</v>
      </c>
      <c r="Q3" s="18" t="n">
        <f aca="false">IFERROR(__xludf.dummyfunction("""COMPUTED_VALUE"""),56644)</f>
        <v>56644</v>
      </c>
      <c r="R3" s="18" t="n">
        <f aca="false">IFERROR(__xludf.dummyfunction("""COMPUTED_VALUE"""),17056644)</f>
        <v>17056644</v>
      </c>
      <c r="S3" s="18" t="n">
        <f aca="false">IFERROR(__xludf.dummyfunction("""COMPUTED_VALUE"""),0)</f>
        <v>0</v>
      </c>
      <c r="T3" s="18" t="n">
        <f aca="false">IFERROR(__xludf.dummyfunction("""COMPUTED_VALUE"""),0)</f>
        <v>0</v>
      </c>
      <c r="U3" s="18" t="str">
        <f aca="false">IFERROR(__xludf.dummyfunction("""COMPUTED_VALUE"""),"13.6*2.5*2.7")</f>
        <v>13.6*2.5*2.7</v>
      </c>
      <c r="V3" s="18" t="str">
        <f aca="false">IFERROR(__xludf.dummyfunction("""COMPUTED_VALUE"""),"Нет")</f>
        <v>Нет</v>
      </c>
    </row>
    <row r="4" customFormat="false" ht="15.75" hidden="false" customHeight="false" outlineLevel="0" collapsed="false">
      <c r="A4" s="20" t="n">
        <f aca="false">IFERROR(__xludf.dummyfunction("""COMPUTED_VALUE"""),46237)</f>
        <v>46237</v>
      </c>
      <c r="B4" s="18" t="n">
        <f aca="false">IFERROR(__xludf.dummyfunction("""COMPUTED_VALUE"""),8008488528)</f>
        <v>8008488528</v>
      </c>
      <c r="C4" s="18" t="str">
        <f aca="false">IFERROR(__xludf.dummyfunction("""COMPUTED_VALUE"""),"В867УХ147/АР306047")</f>
        <v>В867УХ147/АР306047</v>
      </c>
      <c r="D4" s="18" t="str">
        <f aca="false">IFERROR(__xludf.dummyfunction("""COMPUTED_VALUE"""),"Приёмка")</f>
        <v>Приёмка</v>
      </c>
      <c r="E4" s="18" t="str">
        <f aca="false">IFERROR(__xludf.dummyfunction("""COMPUTED_VALUE"""),"Нет")</f>
        <v>Нет</v>
      </c>
      <c r="F4" s="19" t="n">
        <f aca="false">IFERROR(__xludf.dummyfunction("""COMPUTED_VALUE"""),0.583333333335759)</f>
        <v>0.583333333335759</v>
      </c>
      <c r="G4" s="19" t="n">
        <f aca="false">IFERROR(__xludf.dummyfunction("""COMPUTED_VALUE"""),0.600694444445253)</f>
        <v>0.600694444445253</v>
      </c>
      <c r="H4" s="19" t="n">
        <f aca="false">IFERROR(__xludf.dummyfunction("""COMPUTED_VALUE"""),0.628472222218989)</f>
        <v>0.628472222218989</v>
      </c>
      <c r="I4" s="19" t="n">
        <f aca="false">IFERROR(__xludf.dummyfunction("""COMPUTED_VALUE"""),0.645833333335759)</f>
        <v>0.645833333335759</v>
      </c>
      <c r="J4" s="18" t="n">
        <f aca="false">IFERROR(__xludf.dummyfunction("""COMPUTED_VALUE"""),69.344)</f>
        <v>69.344</v>
      </c>
      <c r="K4" s="18" t="n">
        <f aca="false">IFERROR(__xludf.dummyfunction("""COMPUTED_VALUE"""),69.344)</f>
        <v>69.344</v>
      </c>
      <c r="L4" s="18" t="n">
        <f aca="false">IFERROR(__xludf.dummyfunction("""COMPUTED_VALUE"""),0)</f>
        <v>0</v>
      </c>
      <c r="M4" s="18" t="n">
        <f aca="false">IFERROR(__xludf.dummyfunction("""COMPUTED_VALUE"""),0)</f>
        <v>0</v>
      </c>
      <c r="N4" s="18" t="n">
        <f aca="false">IFERROR(__xludf.dummyfunction("""COMPUTED_VALUE"""),0)</f>
        <v>0</v>
      </c>
      <c r="O4" s="18" t="n">
        <f aca="false">IFERROR(__xludf.dummyfunction("""COMPUTED_VALUE"""),0)</f>
        <v>0</v>
      </c>
      <c r="P4" s="18" t="str">
        <f aca="false">IFERROR(__xludf.dummyfunction("""COMPUTED_VALUE"""),"Без нареканий")</f>
        <v>Без нареканий</v>
      </c>
      <c r="Q4" s="18"/>
      <c r="R4" s="18" t="n">
        <f aca="false">IFERROR(__xludf.dummyfunction("""COMPUTED_VALUE"""),8008488528)</f>
        <v>8008488528</v>
      </c>
      <c r="S4" s="18" t="n">
        <f aca="false">IFERROR(__xludf.dummyfunction("""COMPUTED_VALUE"""),0)</f>
        <v>0</v>
      </c>
      <c r="T4" s="18" t="n">
        <f aca="false">IFERROR(__xludf.dummyfunction("""COMPUTED_VALUE"""),0)</f>
        <v>0</v>
      </c>
      <c r="U4" s="18" t="str">
        <f aca="false">IFERROR(__xludf.dummyfunction("""COMPUTED_VALUE"""),"13,6*2,45*2,7")</f>
        <v>13,6*2,45*2,7</v>
      </c>
      <c r="V4" s="18" t="str">
        <f aca="false">IFERROR(__xludf.dummyfunction("""COMPUTED_VALUE"""),"Нет")</f>
        <v>Нет</v>
      </c>
    </row>
    <row r="5" customFormat="false" ht="15.75" hidden="false" customHeight="false" outlineLevel="0" collapsed="false">
      <c r="A5" s="20" t="n">
        <f aca="false">IFERROR(__xludf.dummyfunction("""COMPUTED_VALUE"""),46237)</f>
        <v>46237</v>
      </c>
      <c r="B5" s="18" t="str">
        <f aca="false">IFERROR(__xludf.dummyfunction("""COMPUTED_VALUE"""),"8008498730/8008502166/8008504757")</f>
        <v>8008498730/8008502166/8008504757</v>
      </c>
      <c r="C5" s="18" t="str">
        <f aca="false">IFERROR(__xludf.dummyfunction("""COMPUTED_VALUE"""),"Т375РР198/ЕА939978")</f>
        <v>Т375РР198/ЕА939978</v>
      </c>
      <c r="D5" s="18" t="str">
        <f aca="false">IFERROR(__xludf.dummyfunction("""COMPUTED_VALUE"""),"Приёмка")</f>
        <v>Приёмка</v>
      </c>
      <c r="E5" s="18" t="str">
        <f aca="false">IFERROR(__xludf.dummyfunction("""COMPUTED_VALUE"""),"Нет")</f>
        <v>Нет</v>
      </c>
      <c r="F5" s="19" t="n">
        <f aca="false">IFERROR(__xludf.dummyfunction("""COMPUTED_VALUE"""),0.541666666664241)</f>
        <v>0.541666666664241</v>
      </c>
      <c r="G5" s="19" t="n">
        <f aca="false">IFERROR(__xludf.dummyfunction("""COMPUTED_VALUE"""),0.545138888890506)</f>
        <v>0.545138888890506</v>
      </c>
      <c r="H5" s="19" t="n">
        <f aca="false">IFERROR(__xludf.dummyfunction("""COMPUTED_VALUE"""),0.615277777775191)</f>
        <v>0.615277777775191</v>
      </c>
      <c r="I5" s="19" t="n">
        <f aca="false">IFERROR(__xludf.dummyfunction("""COMPUTED_VALUE"""),0.625)</f>
        <v>0.625</v>
      </c>
      <c r="J5" s="18" t="n">
        <f aca="false">IFERROR(__xludf.dummyfunction("""COMPUTED_VALUE"""),67.33)</f>
        <v>67.33</v>
      </c>
      <c r="K5" s="18" t="n">
        <f aca="false">IFERROR(__xludf.dummyfunction("""COMPUTED_VALUE"""),67.33)</f>
        <v>67.33</v>
      </c>
      <c r="L5" s="18" t="n">
        <f aca="false">IFERROR(__xludf.dummyfunction("""COMPUTED_VALUE"""),0)</f>
        <v>0</v>
      </c>
      <c r="M5" s="18" t="n">
        <f aca="false">IFERROR(__xludf.dummyfunction("""COMPUTED_VALUE"""),0)</f>
        <v>0</v>
      </c>
      <c r="N5" s="18" t="n">
        <f aca="false">IFERROR(__xludf.dummyfunction("""COMPUTED_VALUE"""),0)</f>
        <v>0</v>
      </c>
      <c r="O5" s="18" t="n">
        <f aca="false">IFERROR(__xludf.dummyfunction("""COMPUTED_VALUE"""),0)</f>
        <v>0</v>
      </c>
      <c r="P5" s="18" t="str">
        <f aca="false">IFERROR(__xludf.dummyfunction("""COMPUTED_VALUE"""),"Без нареканий")</f>
        <v>Без нареканий</v>
      </c>
      <c r="Q5" s="18"/>
      <c r="R5" s="18" t="str">
        <f aca="false">IFERROR(__xludf.dummyfunction("""COMPUTED_VALUE"""),"8008498730/8008502166/8008504757")</f>
        <v>8008498730/8008502166/8008504757</v>
      </c>
      <c r="S5" s="18" t="n">
        <f aca="false">IFERROR(__xludf.dummyfunction("""COMPUTED_VALUE"""),0)</f>
        <v>0</v>
      </c>
      <c r="T5" s="18" t="n">
        <f aca="false">IFERROR(__xludf.dummyfunction("""COMPUTED_VALUE"""),0)</f>
        <v>0</v>
      </c>
      <c r="U5" s="18" t="str">
        <f aca="false">IFERROR(__xludf.dummyfunction("""COMPUTED_VALUE"""),"13,5*2,45*2,68")</f>
        <v>13,5*2,45*2,68</v>
      </c>
      <c r="V5" s="18" t="str">
        <f aca="false">IFERROR(__xludf.dummyfunction("""COMPUTED_VALUE"""),"Нет")</f>
        <v>Нет</v>
      </c>
    </row>
    <row r="6" customFormat="false" ht="15.75" hidden="false" customHeight="false" outlineLevel="0" collapsed="false">
      <c r="A6" s="20" t="n">
        <f aca="false">IFERROR(__xludf.dummyfunction("""COMPUTED_VALUE"""),46237)</f>
        <v>46237</v>
      </c>
      <c r="B6" s="18" t="n">
        <f aca="false">IFERROR(__xludf.dummyfunction("""COMPUTED_VALUE"""),17056777)</f>
        <v>17056777</v>
      </c>
      <c r="C6" s="18" t="str">
        <f aca="false">IFERROR(__xludf.dummyfunction("""COMPUTED_VALUE"""),"219CS61 / Z6481")</f>
        <v>219CS61 / Z6481</v>
      </c>
      <c r="D6" s="18" t="str">
        <f aca="false">IFERROR(__xludf.dummyfunction("""COMPUTED_VALUE"""),"Приёмка")</f>
        <v>Приёмка</v>
      </c>
      <c r="E6" s="18" t="str">
        <f aca="false">IFERROR(__xludf.dummyfunction("""COMPUTED_VALUE"""),"Нет")</f>
        <v>Нет</v>
      </c>
      <c r="F6" s="19" t="n">
        <f aca="false">IFERROR(__xludf.dummyfunction("""COMPUTED_VALUE"""),0.520833333335759)</f>
        <v>0.520833333335759</v>
      </c>
      <c r="G6" s="19" t="n">
        <f aca="false">IFERROR(__xludf.dummyfunction("""COMPUTED_VALUE"""),0.541666666664241)</f>
        <v>0.541666666664241</v>
      </c>
      <c r="H6" s="19" t="n">
        <f aca="false">IFERROR(__xludf.dummyfunction("""COMPUTED_VALUE"""),0.652777777781012)</f>
        <v>0.652777777781012</v>
      </c>
      <c r="I6" s="19" t="n">
        <f aca="false">IFERROR(__xludf.dummyfunction("""COMPUTED_VALUE"""),0.6875)</f>
        <v>0.6875</v>
      </c>
      <c r="J6" s="18" t="n">
        <f aca="false">IFERROR(__xludf.dummyfunction("""COMPUTED_VALUE"""),71.953)</f>
        <v>71.953</v>
      </c>
      <c r="K6" s="18" t="n">
        <f aca="false">IFERROR(__xludf.dummyfunction("""COMPUTED_VALUE"""),71.953)</f>
        <v>71.953</v>
      </c>
      <c r="L6" s="18" t="n">
        <f aca="false">IFERROR(__xludf.dummyfunction("""COMPUTED_VALUE"""),0)</f>
        <v>0</v>
      </c>
      <c r="M6" s="18" t="n">
        <f aca="false">IFERROR(__xludf.dummyfunction("""COMPUTED_VALUE"""),0)</f>
        <v>0</v>
      </c>
      <c r="N6" s="18" t="n">
        <f aca="false">IFERROR(__xludf.dummyfunction("""COMPUTED_VALUE"""),0)</f>
        <v>0</v>
      </c>
      <c r="O6" s="18" t="n">
        <f aca="false">IFERROR(__xludf.dummyfunction("""COMPUTED_VALUE"""),0)</f>
        <v>0</v>
      </c>
      <c r="P6" s="18" t="str">
        <f aca="false">IFERROR(__xludf.dummyfunction("""COMPUTED_VALUE"""),"Обнаружен брак упаковки")</f>
        <v>Обнаружен брак упаковки</v>
      </c>
      <c r="Q6" s="18" t="n">
        <f aca="false">IFERROR(__xludf.dummyfunction("""COMPUTED_VALUE"""),56777)</f>
        <v>56777</v>
      </c>
      <c r="R6" s="18" t="n">
        <f aca="false">IFERROR(__xludf.dummyfunction("""COMPUTED_VALUE"""),17056777)</f>
        <v>17056777</v>
      </c>
      <c r="S6" s="18" t="n">
        <f aca="false">IFERROR(__xludf.dummyfunction("""COMPUTED_VALUE"""),0)</f>
        <v>0</v>
      </c>
      <c r="T6" s="18" t="n">
        <f aca="false">IFERROR(__xludf.dummyfunction("""COMPUTED_VALUE"""),0)</f>
        <v>0</v>
      </c>
      <c r="U6" s="18" t="str">
        <f aca="false">IFERROR(__xludf.dummyfunction("""COMPUTED_VALUE"""),"13.6*2.45*2.7")</f>
        <v>13.6*2.45*2.7</v>
      </c>
      <c r="V6" s="18" t="str">
        <f aca="false">IFERROR(__xludf.dummyfunction("""COMPUTED_VALUE"""),"Нет")</f>
        <v>Нет</v>
      </c>
    </row>
    <row r="7" customFormat="false" ht="15.75" hidden="false" customHeight="false" outlineLevel="0" collapsed="false">
      <c r="A7" s="20" t="n">
        <f aca="false">IFERROR(__xludf.dummyfunction("""COMPUTED_VALUE"""),46238)</f>
        <v>46238</v>
      </c>
      <c r="B7" s="18" t="n">
        <f aca="false">IFERROR(__xludf.dummyfunction("""COMPUTED_VALUE"""),8008488531)</f>
        <v>8008488531</v>
      </c>
      <c r="C7" s="18" t="str">
        <f aca="false">IFERROR(__xludf.dummyfunction("""COMPUTED_VALUE"""),"К582ВЕ147/ВК298647")</f>
        <v>К582ВЕ147/ВК298647</v>
      </c>
      <c r="D7" s="18" t="str">
        <f aca="false">IFERROR(__xludf.dummyfunction("""COMPUTED_VALUE"""),"Приёмка")</f>
        <v>Приёмка</v>
      </c>
      <c r="E7" s="18" t="str">
        <f aca="false">IFERROR(__xludf.dummyfunction("""COMPUTED_VALUE"""),"Нет")</f>
        <v>Нет</v>
      </c>
      <c r="F7" s="19" t="n">
        <f aca="false">IFERROR(__xludf.dummyfunction("""COMPUTED_VALUE"""),0.479166666664241)</f>
        <v>0.479166666664241</v>
      </c>
      <c r="G7" s="19" t="n">
        <f aca="false">IFERROR(__xludf.dummyfunction("""COMPUTED_VALUE"""),0.489583333335759)</f>
        <v>0.489583333335759</v>
      </c>
      <c r="H7" s="19" t="n">
        <f aca="false">IFERROR(__xludf.dummyfunction("""COMPUTED_VALUE"""),0.497916666667152)</f>
        <v>0.497916666667152</v>
      </c>
      <c r="I7" s="19" t="n">
        <f aca="false">IFERROR(__xludf.dummyfunction("""COMPUTED_VALUE"""),0.520833333335759)</f>
        <v>0.520833333335759</v>
      </c>
      <c r="J7" s="18" t="n">
        <f aca="false">IFERROR(__xludf.dummyfunction("""COMPUTED_VALUE"""),55.014)</f>
        <v>55.014</v>
      </c>
      <c r="K7" s="18" t="n">
        <f aca="false">IFERROR(__xludf.dummyfunction("""COMPUTED_VALUE"""),55.014)</f>
        <v>55.014</v>
      </c>
      <c r="L7" s="18" t="n">
        <f aca="false">IFERROR(__xludf.dummyfunction("""COMPUTED_VALUE"""),0)</f>
        <v>0</v>
      </c>
      <c r="M7" s="18" t="n">
        <f aca="false">IFERROR(__xludf.dummyfunction("""COMPUTED_VALUE"""),0)</f>
        <v>0</v>
      </c>
      <c r="N7" s="18" t="n">
        <f aca="false">IFERROR(__xludf.dummyfunction("""COMPUTED_VALUE"""),0)</f>
        <v>0</v>
      </c>
      <c r="O7" s="18" t="n">
        <f aca="false">IFERROR(__xludf.dummyfunction("""COMPUTED_VALUE"""),0)</f>
        <v>0</v>
      </c>
      <c r="P7" s="18" t="str">
        <f aca="false">IFERROR(__xludf.dummyfunction("""COMPUTED_VALUE"""),"Без нареканий")</f>
        <v>Без нареканий</v>
      </c>
      <c r="Q7" s="18"/>
      <c r="R7" s="18" t="n">
        <f aca="false">IFERROR(__xludf.dummyfunction("""COMPUTED_VALUE"""),8008488531)</f>
        <v>8008488531</v>
      </c>
      <c r="S7" s="18" t="n">
        <f aca="false">IFERROR(__xludf.dummyfunction("""COMPUTED_VALUE"""),0)</f>
        <v>0</v>
      </c>
      <c r="T7" s="18" t="n">
        <f aca="false">IFERROR(__xludf.dummyfunction("""COMPUTED_VALUE"""),0)</f>
        <v>0</v>
      </c>
      <c r="U7" s="18" t="str">
        <f aca="false">IFERROR(__xludf.dummyfunction("""COMPUTED_VALUE"""),"13,6*2,45*2,7")</f>
        <v>13,6*2,45*2,7</v>
      </c>
      <c r="V7" s="18" t="str">
        <f aca="false">IFERROR(__xludf.dummyfunction("""COMPUTED_VALUE"""),"Нет")</f>
        <v>Нет</v>
      </c>
    </row>
    <row r="8" customFormat="false" ht="15.75" hidden="false" customHeight="false" outlineLevel="0" collapsed="false">
      <c r="A8" s="20" t="n">
        <f aca="false">IFERROR(__xludf.dummyfunction("""COMPUTED_VALUE"""),46238)</f>
        <v>46238</v>
      </c>
      <c r="B8" s="18" t="n">
        <f aca="false">IFERROR(__xludf.dummyfunction("""COMPUTED_VALUE"""),8008488530)</f>
        <v>8008488530</v>
      </c>
      <c r="C8" s="18" t="str">
        <f aca="false">IFERROR(__xludf.dummyfunction("""COMPUTED_VALUE"""),"В867УХ147/АР306047")</f>
        <v>В867УХ147/АР306047</v>
      </c>
      <c r="D8" s="18" t="str">
        <f aca="false">IFERROR(__xludf.dummyfunction("""COMPUTED_VALUE"""),"Приёмка")</f>
        <v>Приёмка</v>
      </c>
      <c r="E8" s="18" t="str">
        <f aca="false">IFERROR(__xludf.dummyfunction("""COMPUTED_VALUE"""),"Нет")</f>
        <v>Нет</v>
      </c>
      <c r="F8" s="19" t="n">
        <f aca="false">IFERROR(__xludf.dummyfunction("""COMPUTED_VALUE"""),0.520833333335759)</f>
        <v>0.520833333335759</v>
      </c>
      <c r="G8" s="19" t="n">
        <f aca="false">IFERROR(__xludf.dummyfunction("""COMPUTED_VALUE"""),0.541666666664241)</f>
        <v>0.541666666664241</v>
      </c>
      <c r="H8" s="19" t="n">
        <f aca="false">IFERROR(__xludf.dummyfunction("""COMPUTED_VALUE"""),0.565972222218989)</f>
        <v>0.565972222218989</v>
      </c>
      <c r="I8" s="19" t="n">
        <f aca="false">IFERROR(__xludf.dummyfunction("""COMPUTED_VALUE"""),0.583333333335759)</f>
        <v>0.583333333335759</v>
      </c>
      <c r="J8" s="18" t="n">
        <f aca="false">IFERROR(__xludf.dummyfunction("""COMPUTED_VALUE"""),69.284)</f>
        <v>69.284</v>
      </c>
      <c r="K8" s="18" t="n">
        <f aca="false">IFERROR(__xludf.dummyfunction("""COMPUTED_VALUE"""),69.284)</f>
        <v>69.284</v>
      </c>
      <c r="L8" s="18" t="n">
        <f aca="false">IFERROR(__xludf.dummyfunction("""COMPUTED_VALUE"""),0)</f>
        <v>0</v>
      </c>
      <c r="M8" s="18" t="n">
        <f aca="false">IFERROR(__xludf.dummyfunction("""COMPUTED_VALUE"""),0)</f>
        <v>0</v>
      </c>
      <c r="N8" s="18" t="n">
        <f aca="false">IFERROR(__xludf.dummyfunction("""COMPUTED_VALUE"""),0)</f>
        <v>0</v>
      </c>
      <c r="O8" s="18" t="n">
        <f aca="false">IFERROR(__xludf.dummyfunction("""COMPUTED_VALUE"""),0)</f>
        <v>0</v>
      </c>
      <c r="P8" s="18" t="str">
        <f aca="false">IFERROR(__xludf.dummyfunction("""COMPUTED_VALUE"""),"Без нареканий")</f>
        <v>Без нареканий</v>
      </c>
      <c r="Q8" s="18"/>
      <c r="R8" s="18" t="n">
        <f aca="false">IFERROR(__xludf.dummyfunction("""COMPUTED_VALUE"""),8008488530)</f>
        <v>8008488530</v>
      </c>
      <c r="S8" s="18" t="n">
        <f aca="false">IFERROR(__xludf.dummyfunction("""COMPUTED_VALUE"""),0)</f>
        <v>0</v>
      </c>
      <c r="T8" s="18" t="n">
        <f aca="false">IFERROR(__xludf.dummyfunction("""COMPUTED_VALUE"""),0)</f>
        <v>0</v>
      </c>
      <c r="U8" s="18" t="str">
        <f aca="false">IFERROR(__xludf.dummyfunction("""COMPUTED_VALUE"""),"13.6*2.5*2.7")</f>
        <v>13.6*2.5*2.7</v>
      </c>
      <c r="V8" s="18" t="str">
        <f aca="false">IFERROR(__xludf.dummyfunction("""COMPUTED_VALUE"""),"Нет")</f>
        <v>Нет</v>
      </c>
    </row>
    <row r="9" customFormat="false" ht="15.75" hidden="false" customHeight="false" outlineLevel="0" collapsed="false">
      <c r="A9" s="20" t="n">
        <f aca="false">IFERROR(__xludf.dummyfunction("""COMPUTED_VALUE"""),46238)</f>
        <v>46238</v>
      </c>
      <c r="B9" s="18" t="n">
        <f aca="false">IFERROR(__xludf.dummyfunction("""COMPUTED_VALUE"""),8008505170)</f>
        <v>8008505170</v>
      </c>
      <c r="C9" s="18" t="str">
        <f aca="false">IFERROR(__xludf.dummyfunction("""COMPUTED_VALUE"""),"К725ТХ126/СВ472726")</f>
        <v>К725ТХ126/СВ472726</v>
      </c>
      <c r="D9" s="18" t="str">
        <f aca="false">IFERROR(__xludf.dummyfunction("""COMPUTED_VALUE"""),"Отгрузка")</f>
        <v>Отгрузка</v>
      </c>
      <c r="E9" s="18" t="str">
        <f aca="false">IFERROR(__xludf.dummyfunction("""COMPUTED_VALUE"""),"Нет")</f>
        <v>Нет</v>
      </c>
      <c r="F9" s="19" t="n">
        <f aca="false">IFERROR(__xludf.dummyfunction("""COMPUTED_VALUE"""),0.5625)</f>
        <v>0.5625</v>
      </c>
      <c r="G9" s="19" t="n">
        <f aca="false">IFERROR(__xludf.dummyfunction("""COMPUTED_VALUE"""),0.569444444445253)</f>
        <v>0.569444444445253</v>
      </c>
      <c r="H9" s="19" t="n">
        <f aca="false">IFERROR(__xludf.dummyfunction("""COMPUTED_VALUE"""),0.59375)</f>
        <v>0.59375</v>
      </c>
      <c r="I9" s="19" t="n">
        <f aca="false">IFERROR(__xludf.dummyfunction("""COMPUTED_VALUE"""),0.625)</f>
        <v>0.625</v>
      </c>
      <c r="J9" s="18" t="n">
        <f aca="false">IFERROR(__xludf.dummyfunction("""COMPUTED_VALUE"""),26.237)</f>
        <v>26.237</v>
      </c>
      <c r="K9" s="18" t="n">
        <f aca="false">IFERROR(__xludf.dummyfunction("""COMPUTED_VALUE"""),0)</f>
        <v>0</v>
      </c>
      <c r="L9" s="18" t="n">
        <f aca="false">IFERROR(__xludf.dummyfunction("""COMPUTED_VALUE"""),0)</f>
        <v>0</v>
      </c>
      <c r="M9" s="18" t="n">
        <f aca="false">IFERROR(__xludf.dummyfunction("""COMPUTED_VALUE"""),0)</f>
        <v>0</v>
      </c>
      <c r="N9" s="18" t="n">
        <f aca="false">IFERROR(__xludf.dummyfunction("""COMPUTED_VALUE"""),26.237)</f>
        <v>26.237</v>
      </c>
      <c r="O9" s="18" t="n">
        <f aca="false">IFERROR(__xludf.dummyfunction("""COMPUTED_VALUE"""),0)</f>
        <v>0</v>
      </c>
      <c r="P9" s="18"/>
      <c r="Q9" s="18"/>
      <c r="R9" s="18" t="n">
        <f aca="false">IFERROR(__xludf.dummyfunction("""COMPUTED_VALUE"""),0)</f>
        <v>0</v>
      </c>
      <c r="S9" s="18" t="n">
        <f aca="false">IFERROR(__xludf.dummyfunction("""COMPUTED_VALUE"""),8008505170)</f>
        <v>8008505170</v>
      </c>
      <c r="T9" s="18" t="n">
        <f aca="false">IFERROR(__xludf.dummyfunction("""COMPUTED_VALUE"""),30994869)</f>
        <v>30994869</v>
      </c>
      <c r="U9" s="18" t="str">
        <f aca="false">IFERROR(__xludf.dummyfunction("""COMPUTED_VALUE"""),"13,6*2,5*2,7")</f>
        <v>13,6*2,5*2,7</v>
      </c>
      <c r="V9" s="18" t="str">
        <f aca="false">IFERROR(__xludf.dummyfunction("""COMPUTED_VALUE"""),"Нет")</f>
        <v>Нет</v>
      </c>
    </row>
    <row r="10" customFormat="false" ht="15.75" hidden="false" customHeight="false" outlineLevel="0" collapsed="false">
      <c r="A10" s="20" t="n">
        <f aca="false">IFERROR(__xludf.dummyfunction("""COMPUTED_VALUE"""),46238)</f>
        <v>46238</v>
      </c>
      <c r="B10" s="18" t="n">
        <f aca="false">IFERROR(__xludf.dummyfunction("""COMPUTED_VALUE"""),8008505960)</f>
        <v>8008505960</v>
      </c>
      <c r="C10" s="18" t="str">
        <f aca="false">IFERROR(__xludf.dummyfunction("""COMPUTED_VALUE"""),"К526ЕК53/НК805453")</f>
        <v>К526ЕК53/НК805453</v>
      </c>
      <c r="D10" s="18" t="str">
        <f aca="false">IFERROR(__xludf.dummyfunction("""COMPUTED_VALUE"""),"Отгрузка")</f>
        <v>Отгрузка</v>
      </c>
      <c r="E10" s="18" t="str">
        <f aca="false">IFERROR(__xludf.dummyfunction("""COMPUTED_VALUE"""),"Нет")</f>
        <v>Нет</v>
      </c>
      <c r="F10" s="19" t="n">
        <f aca="false">IFERROR(__xludf.dummyfunction("""COMPUTED_VALUE"""),0.541666666664241)</f>
        <v>0.541666666664241</v>
      </c>
      <c r="G10" s="19" t="n">
        <f aca="false">IFERROR(__xludf.dummyfunction("""COMPUTED_VALUE"""),0.583333333335759)</f>
        <v>0.583333333335759</v>
      </c>
      <c r="H10" s="19" t="n">
        <f aca="false">IFERROR(__xludf.dummyfunction("""COMPUTED_VALUE"""),0.631944444445253)</f>
        <v>0.631944444445253</v>
      </c>
      <c r="I10" s="19" t="n">
        <f aca="false">IFERROR(__xludf.dummyfunction("""COMPUTED_VALUE"""),0.666666666664241)</f>
        <v>0.666666666664241</v>
      </c>
      <c r="J10" s="18" t="n">
        <f aca="false">IFERROR(__xludf.dummyfunction("""COMPUTED_VALUE"""),68.625)</f>
        <v>68.625</v>
      </c>
      <c r="K10" s="18" t="n">
        <f aca="false">IFERROR(__xludf.dummyfunction("""COMPUTED_VALUE"""),0)</f>
        <v>0</v>
      </c>
      <c r="L10" s="18" t="n">
        <f aca="false">IFERROR(__xludf.dummyfunction("""COMPUTED_VALUE"""),0)</f>
        <v>0</v>
      </c>
      <c r="M10" s="18" t="n">
        <f aca="false">IFERROR(__xludf.dummyfunction("""COMPUTED_VALUE"""),0)</f>
        <v>0</v>
      </c>
      <c r="N10" s="18" t="n">
        <f aca="false">IFERROR(__xludf.dummyfunction("""COMPUTED_VALUE"""),68.625)</f>
        <v>68.625</v>
      </c>
      <c r="O10" s="18" t="n">
        <f aca="false">IFERROR(__xludf.dummyfunction("""COMPUTED_VALUE"""),0)</f>
        <v>0</v>
      </c>
      <c r="P10" s="18"/>
      <c r="Q10" s="18"/>
      <c r="R10" s="18" t="n">
        <f aca="false">IFERROR(__xludf.dummyfunction("""COMPUTED_VALUE"""),0)</f>
        <v>0</v>
      </c>
      <c r="S10" s="18" t="n">
        <f aca="false">IFERROR(__xludf.dummyfunction("""COMPUTED_VALUE"""),8008505960)</f>
        <v>8008505960</v>
      </c>
      <c r="T10" s="18" t="n">
        <f aca="false">IFERROR(__xludf.dummyfunction("""COMPUTED_VALUE"""),30994863)</f>
        <v>30994863</v>
      </c>
      <c r="U10" s="18" t="str">
        <f aca="false">IFERROR(__xludf.dummyfunction("""COMPUTED_VALUE"""),"13,4*2,45*2,65")</f>
        <v>13,4*2,45*2,65</v>
      </c>
      <c r="V10" s="18" t="str">
        <f aca="false">IFERROR(__xludf.dummyfunction("""COMPUTED_VALUE"""),"Нет")</f>
        <v>Нет</v>
      </c>
    </row>
    <row r="11" customFormat="false" ht="15.75" hidden="false" customHeight="false" outlineLevel="0" collapsed="false">
      <c r="A11" s="20" t="n">
        <f aca="false">IFERROR(__xludf.dummyfunction("""COMPUTED_VALUE"""),46239)</f>
        <v>46239</v>
      </c>
      <c r="B11" s="18" t="str">
        <f aca="false">IFERROR(__xludf.dummyfunction("""COMPUTED_VALUE"""),"8008505270/8008508258")</f>
        <v>8008505270/8008508258</v>
      </c>
      <c r="C11" s="18" t="str">
        <f aca="false">IFERROR(__xludf.dummyfunction("""COMPUTED_VALUE"""),"О216МК198")</f>
        <v>О216МК198</v>
      </c>
      <c r="D11" s="18" t="str">
        <f aca="false">IFERROR(__xludf.dummyfunction("""COMPUTED_VALUE"""),"Отгрузка")</f>
        <v>Отгрузка</v>
      </c>
      <c r="E11" s="18" t="str">
        <f aca="false">IFERROR(__xludf.dummyfunction("""COMPUTED_VALUE"""),"Нет")</f>
        <v>Нет</v>
      </c>
      <c r="F11" s="19" t="n">
        <f aca="false">IFERROR(__xludf.dummyfunction("""COMPUTED_VALUE"""),0.395833333335759)</f>
        <v>0.395833333335759</v>
      </c>
      <c r="G11" s="19" t="n">
        <f aca="false">IFERROR(__xludf.dummyfunction("""COMPUTED_VALUE"""),0.404861111106584)</f>
        <v>0.404861111106584</v>
      </c>
      <c r="H11" s="19" t="n">
        <f aca="false">IFERROR(__xludf.dummyfunction("""COMPUTED_VALUE"""),0.416666666664241)</f>
        <v>0.416666666664241</v>
      </c>
      <c r="I11" s="19" t="n">
        <f aca="false">IFERROR(__xludf.dummyfunction("""COMPUTED_VALUE"""),0.4375)</f>
        <v>0.4375</v>
      </c>
      <c r="J11" s="18" t="n">
        <f aca="false">IFERROR(__xludf.dummyfunction("""COMPUTED_VALUE"""),11.783)</f>
        <v>11.783</v>
      </c>
      <c r="K11" s="18" t="n">
        <f aca="false">IFERROR(__xludf.dummyfunction("""COMPUTED_VALUE"""),0)</f>
        <v>0</v>
      </c>
      <c r="L11" s="18" t="n">
        <f aca="false">IFERROR(__xludf.dummyfunction("""COMPUTED_VALUE"""),0)</f>
        <v>0</v>
      </c>
      <c r="M11" s="18" t="n">
        <f aca="false">IFERROR(__xludf.dummyfunction("""COMPUTED_VALUE"""),0)</f>
        <v>0</v>
      </c>
      <c r="N11" s="18" t="n">
        <f aca="false">IFERROR(__xludf.dummyfunction("""COMPUTED_VALUE"""),11.783)</f>
        <v>11.783</v>
      </c>
      <c r="O11" s="18" t="n">
        <f aca="false">IFERROR(__xludf.dummyfunction("""COMPUTED_VALUE"""),0)</f>
        <v>0</v>
      </c>
      <c r="P11" s="18"/>
      <c r="Q11" s="18"/>
      <c r="R11" s="18" t="n">
        <f aca="false">IFERROR(__xludf.dummyfunction("""COMPUTED_VALUE"""),0)</f>
        <v>0</v>
      </c>
      <c r="S11" s="18" t="str">
        <f aca="false">IFERROR(__xludf.dummyfunction("""COMPUTED_VALUE"""),"8008505270/8008508258")</f>
        <v>8008505270/8008508258</v>
      </c>
      <c r="T11" s="18" t="n">
        <f aca="false">IFERROR(__xludf.dummyfunction("""COMPUTED_VALUE"""),30994858)</f>
        <v>30994858</v>
      </c>
      <c r="U11" s="18" t="str">
        <f aca="false">IFERROR(__xludf.dummyfunction("""COMPUTED_VALUE"""),"5,6*2*2,3")</f>
        <v>5,6*2*2,3</v>
      </c>
      <c r="V11" s="18" t="str">
        <f aca="false">IFERROR(__xludf.dummyfunction("""COMPUTED_VALUE"""),"Нет")</f>
        <v>Нет</v>
      </c>
    </row>
    <row r="12" customFormat="false" ht="15.75" hidden="false" customHeight="false" outlineLevel="0" collapsed="false">
      <c r="A12" s="20" t="n">
        <f aca="false">IFERROR(__xludf.dummyfunction("""COMPUTED_VALUE"""),46239)</f>
        <v>46239</v>
      </c>
      <c r="B12" s="18" t="str">
        <f aca="false">IFERROR(__xludf.dummyfunction("""COMPUTED_VALUE"""),"8008496265/8008501544/8008501548/8008502023/8008504415/8008508297")</f>
        <v>8008496265/8008501544/8008501548/8008502023/8008504415/8008508297</v>
      </c>
      <c r="C12" s="18" t="str">
        <f aca="false">IFERROR(__xludf.dummyfunction("""COMPUTED_VALUE"""),"С156ТМ47")</f>
        <v>С156ТМ47</v>
      </c>
      <c r="D12" s="18" t="str">
        <f aca="false">IFERROR(__xludf.dummyfunction("""COMPUTED_VALUE"""),"Отгрузка")</f>
        <v>Отгрузка</v>
      </c>
      <c r="E12" s="18" t="str">
        <f aca="false">IFERROR(__xludf.dummyfunction("""COMPUTED_VALUE"""),"Нет")</f>
        <v>Нет</v>
      </c>
      <c r="F12" s="19" t="n">
        <f aca="false">IFERROR(__xludf.dummyfunction("""COMPUTED_VALUE"""),0.375)</f>
        <v>0.375</v>
      </c>
      <c r="G12" s="19" t="n">
        <f aca="false">IFERROR(__xludf.dummyfunction("""COMPUTED_VALUE"""),0.388888888890506)</f>
        <v>0.388888888890506</v>
      </c>
      <c r="H12" s="19" t="n">
        <f aca="false">IFERROR(__xludf.dummyfunction("""COMPUTED_VALUE"""),0.402777777781012)</f>
        <v>0.402777777781012</v>
      </c>
      <c r="I12" s="19" t="n">
        <f aca="false">IFERROR(__xludf.dummyfunction("""COMPUTED_VALUE"""),0.458333333335759)</f>
        <v>0.458333333335759</v>
      </c>
      <c r="J12" s="18" t="n">
        <f aca="false">IFERROR(__xludf.dummyfunction("""COMPUTED_VALUE"""),8.561)</f>
        <v>8.561</v>
      </c>
      <c r="K12" s="18" t="n">
        <f aca="false">IFERROR(__xludf.dummyfunction("""COMPUTED_VALUE"""),0)</f>
        <v>0</v>
      </c>
      <c r="L12" s="18" t="n">
        <f aca="false">IFERROR(__xludf.dummyfunction("""COMPUTED_VALUE"""),0)</f>
        <v>0</v>
      </c>
      <c r="M12" s="18" t="n">
        <f aca="false">IFERROR(__xludf.dummyfunction("""COMPUTED_VALUE"""),0)</f>
        <v>0</v>
      </c>
      <c r="N12" s="18" t="n">
        <f aca="false">IFERROR(__xludf.dummyfunction("""COMPUTED_VALUE"""),8.561)</f>
        <v>8.561</v>
      </c>
      <c r="O12" s="18" t="n">
        <f aca="false">IFERROR(__xludf.dummyfunction("""COMPUTED_VALUE"""),0)</f>
        <v>0</v>
      </c>
      <c r="P12" s="18"/>
      <c r="Q12" s="18"/>
      <c r="R12" s="18" t="n">
        <f aca="false">IFERROR(__xludf.dummyfunction("""COMPUTED_VALUE"""),0)</f>
        <v>0</v>
      </c>
      <c r="S12" s="18" t="str">
        <f aca="false">IFERROR(__xludf.dummyfunction("""COMPUTED_VALUE"""),"8008496265/8008501544/8008501548/8008502023/8008504415/8008508297")</f>
        <v>8008496265/8008501544/8008501548/8008502023/8008504415/8008508297</v>
      </c>
      <c r="T12" s="18" t="n">
        <f aca="false">IFERROR(__xludf.dummyfunction("""COMPUTED_VALUE"""),30994855)</f>
        <v>30994855</v>
      </c>
      <c r="U12" s="18" t="str">
        <f aca="false">IFERROR(__xludf.dummyfunction("""COMPUTED_VALUE"""),"4,2*2,1*2,1")</f>
        <v>4,2*2,1*2,1</v>
      </c>
      <c r="V12" s="18" t="str">
        <f aca="false">IFERROR(__xludf.dummyfunction("""COMPUTED_VALUE"""),"Нет")</f>
        <v>Нет</v>
      </c>
    </row>
    <row r="13" customFormat="false" ht="15.75" hidden="false" customHeight="false" outlineLevel="0" collapsed="false">
      <c r="A13" s="20" t="n">
        <f aca="false">IFERROR(__xludf.dummyfunction("""COMPUTED_VALUE"""),46239)</f>
        <v>46239</v>
      </c>
      <c r="B13" s="18" t="str">
        <f aca="false">IFERROR(__xludf.dummyfunction("""COMPUTED_VALUE"""),"8008508594/8008508625/8008508626")</f>
        <v>8008508594/8008508625/8008508626</v>
      </c>
      <c r="C13" s="18" t="str">
        <f aca="false">IFERROR(__xludf.dummyfunction("""COMPUTED_VALUE"""),"О462ХР196/ВА173059")</f>
        <v>О462ХР196/ВА173059</v>
      </c>
      <c r="D13" s="18" t="str">
        <f aca="false">IFERROR(__xludf.dummyfunction("""COMPUTED_VALUE"""),"Отгрузка")</f>
        <v>Отгрузка</v>
      </c>
      <c r="E13" s="18" t="str">
        <f aca="false">IFERROR(__xludf.dummyfunction("""COMPUTED_VALUE"""),"Нет")</f>
        <v>Нет</v>
      </c>
      <c r="F13" s="19" t="n">
        <f aca="false">IFERROR(__xludf.dummyfunction("""COMPUTED_VALUE"""),0.375)</f>
        <v>0.375</v>
      </c>
      <c r="G13" s="19" t="n">
        <f aca="false">IFERROR(__xludf.dummyfunction("""COMPUTED_VALUE"""),0.388888888890506)</f>
        <v>0.388888888890506</v>
      </c>
      <c r="H13" s="19" t="n">
        <f aca="false">IFERROR(__xludf.dummyfunction("""COMPUTED_VALUE"""),0.503472222218989)</f>
        <v>0.503472222218989</v>
      </c>
      <c r="I13" s="19" t="n">
        <f aca="false">IFERROR(__xludf.dummyfunction("""COMPUTED_VALUE"""),0.5625)</f>
        <v>0.5625</v>
      </c>
      <c r="J13" s="18" t="n">
        <f aca="false">IFERROR(__xludf.dummyfunction("""COMPUTED_VALUE"""),88.113)</f>
        <v>88.113</v>
      </c>
      <c r="K13" s="18" t="n">
        <f aca="false">IFERROR(__xludf.dummyfunction("""COMPUTED_VALUE"""),0)</f>
        <v>0</v>
      </c>
      <c r="L13" s="18" t="n">
        <f aca="false">IFERROR(__xludf.dummyfunction("""COMPUTED_VALUE"""),0)</f>
        <v>0</v>
      </c>
      <c r="M13" s="18" t="n">
        <f aca="false">IFERROR(__xludf.dummyfunction("""COMPUTED_VALUE"""),0)</f>
        <v>0</v>
      </c>
      <c r="N13" s="18" t="n">
        <f aca="false">IFERROR(__xludf.dummyfunction("""COMPUTED_VALUE"""),88.113)</f>
        <v>88.113</v>
      </c>
      <c r="O13" s="18" t="n">
        <f aca="false">IFERROR(__xludf.dummyfunction("""COMPUTED_VALUE"""),0)</f>
        <v>0</v>
      </c>
      <c r="P13" s="18"/>
      <c r="Q13" s="18"/>
      <c r="R13" s="18" t="n">
        <f aca="false">IFERROR(__xludf.dummyfunction("""COMPUTED_VALUE"""),0)</f>
        <v>0</v>
      </c>
      <c r="S13" s="18" t="str">
        <f aca="false">IFERROR(__xludf.dummyfunction("""COMPUTED_VALUE"""),"8008508594/8008508625/8008508626")</f>
        <v>8008508594/8008508625/8008508626</v>
      </c>
      <c r="T13" s="18" t="n">
        <f aca="false">IFERROR(__xludf.dummyfunction("""COMPUTED_VALUE"""),30994854)</f>
        <v>30994854</v>
      </c>
      <c r="U13" s="18" t="str">
        <f aca="false">IFERROR(__xludf.dummyfunction("""COMPUTED_VALUE"""),"16,3*2,4*2,7")</f>
        <v>16,3*2,4*2,7</v>
      </c>
      <c r="V13" s="18" t="str">
        <f aca="false">IFERROR(__xludf.dummyfunction("""COMPUTED_VALUE"""),"Нет")</f>
        <v>Нет</v>
      </c>
    </row>
    <row r="14" customFormat="false" ht="15.75" hidden="false" customHeight="false" outlineLevel="0" collapsed="false">
      <c r="A14" s="20" t="n">
        <f aca="false">IFERROR(__xludf.dummyfunction("""COMPUTED_VALUE"""),46239)</f>
        <v>46239</v>
      </c>
      <c r="B14" s="18" t="str">
        <f aca="false">IFERROR(__xludf.dummyfunction("""COMPUTED_VALUE"""),"8008506031/8008506032/8008506375")</f>
        <v>8008506031/8008506032/8008506375</v>
      </c>
      <c r="C14" s="18" t="str">
        <f aca="false">IFERROR(__xludf.dummyfunction("""COMPUTED_VALUE"""),"К810НО53/НМ010853")</f>
        <v>К810НО53/НМ010853</v>
      </c>
      <c r="D14" s="18" t="str">
        <f aca="false">IFERROR(__xludf.dummyfunction("""COMPUTED_VALUE"""),"Отгрузка")</f>
        <v>Отгрузка</v>
      </c>
      <c r="E14" s="18" t="str">
        <f aca="false">IFERROR(__xludf.dummyfunction("""COMPUTED_VALUE"""),"Нет")</f>
        <v>Нет</v>
      </c>
      <c r="F14" s="19" t="n">
        <f aca="false">IFERROR(__xludf.dummyfunction("""COMPUTED_VALUE"""),0.375)</f>
        <v>0.375</v>
      </c>
      <c r="G14" s="19" t="n">
        <f aca="false">IFERROR(__xludf.dummyfunction("""COMPUTED_VALUE"""),0.381944444445253)</f>
        <v>0.381944444445253</v>
      </c>
      <c r="H14" s="19" t="n">
        <f aca="false">IFERROR(__xludf.dummyfunction("""COMPUTED_VALUE"""),0.489583333335759)</f>
        <v>0.489583333335759</v>
      </c>
      <c r="I14" s="19" t="n">
        <f aca="false">IFERROR(__xludf.dummyfunction("""COMPUTED_VALUE"""),0.541666666664241)</f>
        <v>0.541666666664241</v>
      </c>
      <c r="J14" s="18" t="n">
        <f aca="false">IFERROR(__xludf.dummyfunction("""COMPUTED_VALUE"""),93.241)</f>
        <v>93.241</v>
      </c>
      <c r="K14" s="18" t="n">
        <f aca="false">IFERROR(__xludf.dummyfunction("""COMPUTED_VALUE"""),0)</f>
        <v>0</v>
      </c>
      <c r="L14" s="18" t="n">
        <f aca="false">IFERROR(__xludf.dummyfunction("""COMPUTED_VALUE"""),0)</f>
        <v>0</v>
      </c>
      <c r="M14" s="18" t="n">
        <f aca="false">IFERROR(__xludf.dummyfunction("""COMPUTED_VALUE"""),0)</f>
        <v>0</v>
      </c>
      <c r="N14" s="18" t="n">
        <f aca="false">IFERROR(__xludf.dummyfunction("""COMPUTED_VALUE"""),93.241)</f>
        <v>93.241</v>
      </c>
      <c r="O14" s="18" t="n">
        <f aca="false">IFERROR(__xludf.dummyfunction("""COMPUTED_VALUE"""),0)</f>
        <v>0</v>
      </c>
      <c r="P14" s="18"/>
      <c r="Q14" s="18"/>
      <c r="R14" s="18" t="n">
        <f aca="false">IFERROR(__xludf.dummyfunction("""COMPUTED_VALUE"""),0)</f>
        <v>0</v>
      </c>
      <c r="S14" s="18" t="str">
        <f aca="false">IFERROR(__xludf.dummyfunction("""COMPUTED_VALUE"""),"8008506031/8008506032/8008506375")</f>
        <v>8008506031/8008506032/8008506375</v>
      </c>
      <c r="T14" s="18" t="n">
        <f aca="false">IFERROR(__xludf.dummyfunction("""COMPUTED_VALUE"""),30994859)</f>
        <v>30994859</v>
      </c>
      <c r="U14" s="18" t="str">
        <f aca="false">IFERROR(__xludf.dummyfunction("""COMPUTED_VALUE"""),"16,3*2,5*2,7")</f>
        <v>16,3*2,5*2,7</v>
      </c>
      <c r="V14" s="18" t="str">
        <f aca="false">IFERROR(__xludf.dummyfunction("""COMPUTED_VALUE"""),"Нет")</f>
        <v>Нет</v>
      </c>
    </row>
    <row r="15" customFormat="false" ht="15.75" hidden="false" customHeight="false" outlineLevel="0" collapsed="false">
      <c r="A15" s="20" t="n">
        <f aca="false">IFERROR(__xludf.dummyfunction("""COMPUTED_VALUE"""),46239)</f>
        <v>46239</v>
      </c>
      <c r="B15" s="18" t="n">
        <f aca="false">IFERROR(__xludf.dummyfunction("""COMPUTED_VALUE"""),8008505351)</f>
        <v>8008505351</v>
      </c>
      <c r="C15" s="18" t="str">
        <f aca="false">IFERROR(__xludf.dummyfunction("""COMPUTED_VALUE"""),"М900РС163/АУ601163")</f>
        <v>М900РС163/АУ601163</v>
      </c>
      <c r="D15" s="18" t="str">
        <f aca="false">IFERROR(__xludf.dummyfunction("""COMPUTED_VALUE"""),"Отгрузка")</f>
        <v>Отгрузка</v>
      </c>
      <c r="E15" s="18" t="str">
        <f aca="false">IFERROR(__xludf.dummyfunction("""COMPUTED_VALUE"""),"Нет")</f>
        <v>Нет</v>
      </c>
      <c r="F15" s="19" t="n">
        <f aca="false">IFERROR(__xludf.dummyfunction("""COMPUTED_VALUE"""),0.541666666664241)</f>
        <v>0.541666666664241</v>
      </c>
      <c r="G15" s="19" t="n">
        <f aca="false">IFERROR(__xludf.dummyfunction("""COMPUTED_VALUE"""),0.545138888890506)</f>
        <v>0.545138888890506</v>
      </c>
      <c r="H15" s="19" t="n">
        <f aca="false">IFERROR(__xludf.dummyfunction("""COMPUTED_VALUE"""),0.572916666664241)</f>
        <v>0.572916666664241</v>
      </c>
      <c r="I15" s="19" t="n">
        <f aca="false">IFERROR(__xludf.dummyfunction("""COMPUTED_VALUE"""),0.625)</f>
        <v>0.625</v>
      </c>
      <c r="J15" s="18" t="n">
        <f aca="false">IFERROR(__xludf.dummyfunction("""COMPUTED_VALUE"""),18.76)</f>
        <v>18.76</v>
      </c>
      <c r="K15" s="18" t="n">
        <f aca="false">IFERROR(__xludf.dummyfunction("""COMPUTED_VALUE"""),0)</f>
        <v>0</v>
      </c>
      <c r="L15" s="18" t="n">
        <f aca="false">IFERROR(__xludf.dummyfunction("""COMPUTED_VALUE"""),0)</f>
        <v>0</v>
      </c>
      <c r="M15" s="18" t="n">
        <f aca="false">IFERROR(__xludf.dummyfunction("""COMPUTED_VALUE"""),0)</f>
        <v>0</v>
      </c>
      <c r="N15" s="18" t="n">
        <f aca="false">IFERROR(__xludf.dummyfunction("""COMPUTED_VALUE"""),18.76)</f>
        <v>18.76</v>
      </c>
      <c r="O15" s="18" t="n">
        <f aca="false">IFERROR(__xludf.dummyfunction("""COMPUTED_VALUE"""),0)</f>
        <v>0</v>
      </c>
      <c r="P15" s="18"/>
      <c r="Q15" s="18"/>
      <c r="R15" s="18" t="n">
        <f aca="false">IFERROR(__xludf.dummyfunction("""COMPUTED_VALUE"""),0)</f>
        <v>0</v>
      </c>
      <c r="S15" s="18" t="n">
        <f aca="false">IFERROR(__xludf.dummyfunction("""COMPUTED_VALUE"""),8008505351)</f>
        <v>8008505351</v>
      </c>
      <c r="T15" s="18" t="n">
        <f aca="false">IFERROR(__xludf.dummyfunction("""COMPUTED_VALUE"""),30994852)</f>
        <v>30994852</v>
      </c>
      <c r="U15" s="18" t="str">
        <f aca="false">IFERROR(__xludf.dummyfunction("""COMPUTED_VALUE"""),"13,6*2,5*2,7")</f>
        <v>13,6*2,5*2,7</v>
      </c>
      <c r="V15" s="18" t="str">
        <f aca="false">IFERROR(__xludf.dummyfunction("""COMPUTED_VALUE"""),"Нет")</f>
        <v>Нет</v>
      </c>
    </row>
    <row r="16" customFormat="false" ht="15.75" hidden="false" customHeight="false" outlineLevel="0" collapsed="false">
      <c r="A16" s="20" t="n">
        <f aca="false">IFERROR(__xludf.dummyfunction("""COMPUTED_VALUE"""),46239)</f>
        <v>46239</v>
      </c>
      <c r="B16" s="18" t="str">
        <f aca="false">IFERROR(__xludf.dummyfunction("""COMPUTED_VALUE"""),"8008494308/8008502285/8008505956")</f>
        <v>8008494308/8008502285/8008505956</v>
      </c>
      <c r="C16" s="18" t="str">
        <f aca="false">IFERROR(__xludf.dummyfunction("""COMPUTED_VALUE"""),"А954ОА134/ВТ603634")</f>
        <v>А954ОА134/ВТ603634</v>
      </c>
      <c r="D16" s="18" t="str">
        <f aca="false">IFERROR(__xludf.dummyfunction("""COMPUTED_VALUE"""),"Отгрузка")</f>
        <v>Отгрузка</v>
      </c>
      <c r="E16" s="18" t="str">
        <f aca="false">IFERROR(__xludf.dummyfunction("""COMPUTED_VALUE"""),"Нет")</f>
        <v>Нет</v>
      </c>
      <c r="F16" s="19" t="n">
        <f aca="false">IFERROR(__xludf.dummyfunction("""COMPUTED_VALUE"""),0.5)</f>
        <v>0.5</v>
      </c>
      <c r="G16" s="19" t="n">
        <f aca="false">IFERROR(__xludf.dummyfunction("""COMPUTED_VALUE"""),0.534027777779556)</f>
        <v>0.534027777779556</v>
      </c>
      <c r="H16" s="19" t="n">
        <f aca="false">IFERROR(__xludf.dummyfunction("""COMPUTED_VALUE"""),0.602777777778101)</f>
        <v>0.602777777778101</v>
      </c>
      <c r="I16" s="19" t="n">
        <f aca="false">IFERROR(__xludf.dummyfunction("""COMPUTED_VALUE"""),0.625)</f>
        <v>0.625</v>
      </c>
      <c r="J16" s="18" t="n">
        <f aca="false">IFERROR(__xludf.dummyfunction("""COMPUTED_VALUE"""),62.913)</f>
        <v>62.913</v>
      </c>
      <c r="K16" s="18" t="n">
        <f aca="false">IFERROR(__xludf.dummyfunction("""COMPUTED_VALUE"""),0)</f>
        <v>0</v>
      </c>
      <c r="L16" s="18" t="n">
        <f aca="false">IFERROR(__xludf.dummyfunction("""COMPUTED_VALUE"""),0)</f>
        <v>0</v>
      </c>
      <c r="M16" s="18" t="n">
        <f aca="false">IFERROR(__xludf.dummyfunction("""COMPUTED_VALUE"""),0)</f>
        <v>0</v>
      </c>
      <c r="N16" s="18" t="n">
        <f aca="false">IFERROR(__xludf.dummyfunction("""COMPUTED_VALUE"""),62.913)</f>
        <v>62.913</v>
      </c>
      <c r="O16" s="18" t="n">
        <f aca="false">IFERROR(__xludf.dummyfunction("""COMPUTED_VALUE"""),0)</f>
        <v>0</v>
      </c>
      <c r="P16" s="18"/>
      <c r="Q16" s="18"/>
      <c r="R16" s="18" t="n">
        <f aca="false">IFERROR(__xludf.dummyfunction("""COMPUTED_VALUE"""),0)</f>
        <v>0</v>
      </c>
      <c r="S16" s="18" t="str">
        <f aca="false">IFERROR(__xludf.dummyfunction("""COMPUTED_VALUE"""),"8008494308/8008502285/8008505956")</f>
        <v>8008494308/8008502285/8008505956</v>
      </c>
      <c r="T16" s="18" t="n">
        <f aca="false">IFERROR(__xludf.dummyfunction("""COMPUTED_VALUE"""),30994857)</f>
        <v>30994857</v>
      </c>
      <c r="U16" s="18" t="str">
        <f aca="false">IFERROR(__xludf.dummyfunction("""COMPUTED_VALUE"""),"13.6*2.45*2.7")</f>
        <v>13.6*2.45*2.7</v>
      </c>
      <c r="V16" s="18" t="str">
        <f aca="false">IFERROR(__xludf.dummyfunction("""COMPUTED_VALUE"""),"Нет")</f>
        <v>Нет</v>
      </c>
    </row>
    <row r="17" customFormat="false" ht="15.75" hidden="false" customHeight="false" outlineLevel="0" collapsed="false">
      <c r="A17" s="20" t="n">
        <f aca="false">IFERROR(__xludf.dummyfunction("""COMPUTED_VALUE"""),46240)</f>
        <v>46240</v>
      </c>
      <c r="B17" s="18" t="n">
        <f aca="false">IFERROR(__xludf.dummyfunction("""COMPUTED_VALUE"""),8008508905)</f>
        <v>8008508905</v>
      </c>
      <c r="C17" s="18" t="str">
        <f aca="false">IFERROR(__xludf.dummyfunction("""COMPUTED_VALUE"""),"С156ТМ47")</f>
        <v>С156ТМ47</v>
      </c>
      <c r="D17" s="18" t="str">
        <f aca="false">IFERROR(__xludf.dummyfunction("""COMPUTED_VALUE"""),"Отгрузка")</f>
        <v>Отгрузка</v>
      </c>
      <c r="E17" s="18" t="str">
        <f aca="false">IFERROR(__xludf.dummyfunction("""COMPUTED_VALUE"""),"Нет")</f>
        <v>Нет</v>
      </c>
      <c r="F17" s="19" t="n">
        <f aca="false">IFERROR(__xludf.dummyfunction("""COMPUTED_VALUE"""),0.375)</f>
        <v>0.375</v>
      </c>
      <c r="G17" s="19" t="n">
        <f aca="false">IFERROR(__xludf.dummyfunction("""COMPUTED_VALUE"""),0.399305555554747)</f>
        <v>0.399305555554747</v>
      </c>
      <c r="H17" s="19" t="n">
        <f aca="false">IFERROR(__xludf.dummyfunction("""COMPUTED_VALUE"""),0.402777777781012)</f>
        <v>0.402777777781012</v>
      </c>
      <c r="I17" s="19" t="n">
        <f aca="false">IFERROR(__xludf.dummyfunction("""COMPUTED_VALUE"""),0.4375)</f>
        <v>0.4375</v>
      </c>
      <c r="J17" s="18" t="n">
        <f aca="false">IFERROR(__xludf.dummyfunction("""COMPUTED_VALUE"""),0.579)</f>
        <v>0.579</v>
      </c>
      <c r="K17" s="18" t="n">
        <f aca="false">IFERROR(__xludf.dummyfunction("""COMPUTED_VALUE"""),0)</f>
        <v>0</v>
      </c>
      <c r="L17" s="18" t="n">
        <f aca="false">IFERROR(__xludf.dummyfunction("""COMPUTED_VALUE"""),0)</f>
        <v>0</v>
      </c>
      <c r="M17" s="18" t="n">
        <f aca="false">IFERROR(__xludf.dummyfunction("""COMPUTED_VALUE"""),0)</f>
        <v>0</v>
      </c>
      <c r="N17" s="18" t="n">
        <f aca="false">IFERROR(__xludf.dummyfunction("""COMPUTED_VALUE"""),0.579)</f>
        <v>0.579</v>
      </c>
      <c r="O17" s="18" t="n">
        <f aca="false">IFERROR(__xludf.dummyfunction("""COMPUTED_VALUE"""),0)</f>
        <v>0</v>
      </c>
      <c r="P17" s="18"/>
      <c r="Q17" s="18"/>
      <c r="R17" s="18" t="n">
        <f aca="false">IFERROR(__xludf.dummyfunction("""COMPUTED_VALUE"""),0)</f>
        <v>0</v>
      </c>
      <c r="S17" s="18" t="n">
        <f aca="false">IFERROR(__xludf.dummyfunction("""COMPUTED_VALUE"""),8008508905)</f>
        <v>8008508905</v>
      </c>
      <c r="T17" s="18" t="n">
        <f aca="false">IFERROR(__xludf.dummyfunction("""COMPUTED_VALUE"""),30994888)</f>
        <v>30994888</v>
      </c>
      <c r="U17" s="18" t="str">
        <f aca="false">IFERROR(__xludf.dummyfunction("""COMPUTED_VALUE"""),"4.20*2.16*2.1")</f>
        <v>4.20*2.16*2.1</v>
      </c>
      <c r="V17" s="18" t="str">
        <f aca="false">IFERROR(__xludf.dummyfunction("""COMPUTED_VALUE"""),"Нет")</f>
        <v>Нет</v>
      </c>
    </row>
    <row r="18" customFormat="false" ht="15.75" hidden="false" customHeight="false" outlineLevel="0" collapsed="false">
      <c r="A18" s="20" t="n">
        <f aca="false">IFERROR(__xludf.dummyfunction("""COMPUTED_VALUE"""),46240)</f>
        <v>46240</v>
      </c>
      <c r="B18" s="18" t="str">
        <f aca="false">IFERROR(__xludf.dummyfunction("""COMPUTED_VALUE"""),"8008509621/8008510944")</f>
        <v>8008509621/8008510944</v>
      </c>
      <c r="C18" s="18" t="str">
        <f aca="false">IFERROR(__xludf.dummyfunction("""COMPUTED_VALUE"""),"О216МК198")</f>
        <v>О216МК198</v>
      </c>
      <c r="D18" s="18" t="str">
        <f aca="false">IFERROR(__xludf.dummyfunction("""COMPUTED_VALUE"""),"Отгрузка")</f>
        <v>Отгрузка</v>
      </c>
      <c r="E18" s="18" t="str">
        <f aca="false">IFERROR(__xludf.dummyfunction("""COMPUTED_VALUE"""),"Нет")</f>
        <v>Нет</v>
      </c>
      <c r="F18" s="19" t="n">
        <f aca="false">IFERROR(__xludf.dummyfunction("""COMPUTED_VALUE"""),0.375)</f>
        <v>0.375</v>
      </c>
      <c r="G18" s="19" t="n">
        <f aca="false">IFERROR(__xludf.dummyfunction("""COMPUTED_VALUE"""),0.395833333335759)</f>
        <v>0.395833333335759</v>
      </c>
      <c r="H18" s="19" t="n">
        <f aca="false">IFERROR(__xludf.dummyfunction("""COMPUTED_VALUE"""),0.409722222218988)</f>
        <v>0.409722222218988</v>
      </c>
      <c r="I18" s="19" t="n">
        <f aca="false">IFERROR(__xludf.dummyfunction("""COMPUTED_VALUE"""),0.4375)</f>
        <v>0.4375</v>
      </c>
      <c r="J18" s="18" t="n">
        <f aca="false">IFERROR(__xludf.dummyfunction("""COMPUTED_VALUE"""),8.246)</f>
        <v>8.246</v>
      </c>
      <c r="K18" s="18" t="n">
        <f aca="false">IFERROR(__xludf.dummyfunction("""COMPUTED_VALUE"""),0)</f>
        <v>0</v>
      </c>
      <c r="L18" s="18" t="n">
        <f aca="false">IFERROR(__xludf.dummyfunction("""COMPUTED_VALUE"""),0)</f>
        <v>0</v>
      </c>
      <c r="M18" s="18" t="n">
        <f aca="false">IFERROR(__xludf.dummyfunction("""COMPUTED_VALUE"""),0)</f>
        <v>0</v>
      </c>
      <c r="N18" s="18" t="n">
        <f aca="false">IFERROR(__xludf.dummyfunction("""COMPUTED_VALUE"""),8.246)</f>
        <v>8.246</v>
      </c>
      <c r="O18" s="18" t="n">
        <f aca="false">IFERROR(__xludf.dummyfunction("""COMPUTED_VALUE"""),0)</f>
        <v>0</v>
      </c>
      <c r="P18" s="18"/>
      <c r="Q18" s="18"/>
      <c r="R18" s="18" t="n">
        <f aca="false">IFERROR(__xludf.dummyfunction("""COMPUTED_VALUE"""),0)</f>
        <v>0</v>
      </c>
      <c r="S18" s="18" t="str">
        <f aca="false">IFERROR(__xludf.dummyfunction("""COMPUTED_VALUE"""),"8008509621/8008510944")</f>
        <v>8008509621/8008510944</v>
      </c>
      <c r="T18" s="18" t="n">
        <f aca="false">IFERROR(__xludf.dummyfunction("""COMPUTED_VALUE"""),30994872)</f>
        <v>30994872</v>
      </c>
      <c r="U18" s="18" t="str">
        <f aca="false">IFERROR(__xludf.dummyfunction("""COMPUTED_VALUE"""),"5,6*2*2,2")</f>
        <v>5,6*2*2,2</v>
      </c>
      <c r="V18" s="18" t="str">
        <f aca="false">IFERROR(__xludf.dummyfunction("""COMPUTED_VALUE"""),"Нет")</f>
        <v>Нет</v>
      </c>
    </row>
    <row r="19" customFormat="false" ht="15.75" hidden="false" customHeight="false" outlineLevel="0" collapsed="false">
      <c r="A19" s="20" t="n">
        <f aca="false">IFERROR(__xludf.dummyfunction("""COMPUTED_VALUE"""),46240)</f>
        <v>46240</v>
      </c>
      <c r="B19" s="18" t="n">
        <f aca="false">IFERROR(__xludf.dummyfunction("""COMPUTED_VALUE"""),8008488546)</f>
        <v>8008488546</v>
      </c>
      <c r="C19" s="18" t="str">
        <f aca="false">IFERROR(__xludf.dummyfunction("""COMPUTED_VALUE"""),"В867УХ147/АР306047")</f>
        <v>В867УХ147/АР306047</v>
      </c>
      <c r="D19" s="18" t="str">
        <f aca="false">IFERROR(__xludf.dummyfunction("""COMPUTED_VALUE"""),"Приёмка")</f>
        <v>Приёмка</v>
      </c>
      <c r="E19" s="18" t="str">
        <f aca="false">IFERROR(__xludf.dummyfunction("""COMPUTED_VALUE"""),"Нет")</f>
        <v>Нет</v>
      </c>
      <c r="F19" s="19" t="n">
        <f aca="false">IFERROR(__xludf.dummyfunction("""COMPUTED_VALUE"""),0.527777777781012)</f>
        <v>0.527777777781012</v>
      </c>
      <c r="G19" s="19" t="n">
        <f aca="false">IFERROR(__xludf.dummyfunction("""COMPUTED_VALUE"""),0.534722222218989)</f>
        <v>0.534722222218989</v>
      </c>
      <c r="H19" s="19" t="n">
        <f aca="false">IFERROR(__xludf.dummyfunction("""COMPUTED_VALUE"""),0.569444444445253)</f>
        <v>0.569444444445253</v>
      </c>
      <c r="I19" s="19" t="n">
        <f aca="false">IFERROR(__xludf.dummyfunction("""COMPUTED_VALUE"""),0.583333333335759)</f>
        <v>0.583333333335759</v>
      </c>
      <c r="J19" s="18" t="n">
        <f aca="false">IFERROR(__xludf.dummyfunction("""COMPUTED_VALUE"""),61.459)</f>
        <v>61.459</v>
      </c>
      <c r="K19" s="18" t="n">
        <f aca="false">IFERROR(__xludf.dummyfunction("""COMPUTED_VALUE"""),61.459)</f>
        <v>61.459</v>
      </c>
      <c r="L19" s="18" t="n">
        <f aca="false">IFERROR(__xludf.dummyfunction("""COMPUTED_VALUE"""),0)</f>
        <v>0</v>
      </c>
      <c r="M19" s="18" t="n">
        <f aca="false">IFERROR(__xludf.dummyfunction("""COMPUTED_VALUE"""),0)</f>
        <v>0</v>
      </c>
      <c r="N19" s="18" t="n">
        <f aca="false">IFERROR(__xludf.dummyfunction("""COMPUTED_VALUE"""),0)</f>
        <v>0</v>
      </c>
      <c r="O19" s="18" t="n">
        <f aca="false">IFERROR(__xludf.dummyfunction("""COMPUTED_VALUE"""),0)</f>
        <v>0</v>
      </c>
      <c r="P19" s="18" t="str">
        <f aca="false">IFERROR(__xludf.dummyfunction("""COMPUTED_VALUE"""),"Без нареканий")</f>
        <v>Без нареканий</v>
      </c>
      <c r="Q19" s="18"/>
      <c r="R19" s="18" t="n">
        <f aca="false">IFERROR(__xludf.dummyfunction("""COMPUTED_VALUE"""),8008488546)</f>
        <v>8008488546</v>
      </c>
      <c r="S19" s="18" t="n">
        <f aca="false">IFERROR(__xludf.dummyfunction("""COMPUTED_VALUE"""),0)</f>
        <v>0</v>
      </c>
      <c r="T19" s="18" t="n">
        <f aca="false">IFERROR(__xludf.dummyfunction("""COMPUTED_VALUE"""),0)</f>
        <v>0</v>
      </c>
      <c r="U19" s="18" t="str">
        <f aca="false">IFERROR(__xludf.dummyfunction("""COMPUTED_VALUE"""),"13,6*2,5*2,7")</f>
        <v>13,6*2,5*2,7</v>
      </c>
      <c r="V19" s="18" t="str">
        <f aca="false">IFERROR(__xludf.dummyfunction("""COMPUTED_VALUE"""),"Нет")</f>
        <v>Нет</v>
      </c>
    </row>
    <row r="20" customFormat="false" ht="15.75" hidden="false" customHeight="false" outlineLevel="0" collapsed="false">
      <c r="A20" s="20" t="n">
        <f aca="false">IFERROR(__xludf.dummyfunction("""COMPUTED_VALUE"""),46240)</f>
        <v>46240</v>
      </c>
      <c r="B20" s="18" t="n">
        <f aca="false">IFERROR(__xludf.dummyfunction("""COMPUTED_VALUE"""),8008509141)</f>
        <v>8008509141</v>
      </c>
      <c r="C20" s="18" t="str">
        <f aca="false">IFERROR(__xludf.dummyfunction("""COMPUTED_VALUE"""),"К106УР178")</f>
        <v>К106УР178</v>
      </c>
      <c r="D20" s="18" t="str">
        <f aca="false">IFERROR(__xludf.dummyfunction("""COMPUTED_VALUE"""),"Отгрузка")</f>
        <v>Отгрузка</v>
      </c>
      <c r="E20" s="18" t="str">
        <f aca="false">IFERROR(__xludf.dummyfunction("""COMPUTED_VALUE"""),"Нет")</f>
        <v>Нет</v>
      </c>
      <c r="F20" s="19" t="n">
        <f aca="false">IFERROR(__xludf.dummyfunction("""COMPUTED_VALUE"""),0.625)</f>
        <v>0.625</v>
      </c>
      <c r="G20" s="19" t="n">
        <f aca="false">IFERROR(__xludf.dummyfunction("""COMPUTED_VALUE"""),0.631249999998545)</f>
        <v>0.631249999998545</v>
      </c>
      <c r="H20" s="19" t="n">
        <f aca="false">IFERROR(__xludf.dummyfunction("""COMPUTED_VALUE"""),0.632638888884685)</f>
        <v>0.632638888884685</v>
      </c>
      <c r="I20" s="19" t="n">
        <f aca="false">IFERROR(__xludf.dummyfunction("""COMPUTED_VALUE"""),0.645833333335759)</f>
        <v>0.645833333335759</v>
      </c>
      <c r="J20" s="18" t="n">
        <f aca="false">IFERROR(__xludf.dummyfunction("""COMPUTED_VALUE"""),0.81)</f>
        <v>0.81</v>
      </c>
      <c r="K20" s="18" t="n">
        <f aca="false">IFERROR(__xludf.dummyfunction("""COMPUTED_VALUE"""),0)</f>
        <v>0</v>
      </c>
      <c r="L20" s="18" t="n">
        <f aca="false">IFERROR(__xludf.dummyfunction("""COMPUTED_VALUE"""),0)</f>
        <v>0</v>
      </c>
      <c r="M20" s="18" t="n">
        <f aca="false">IFERROR(__xludf.dummyfunction("""COMPUTED_VALUE"""),0.81)</f>
        <v>0.81</v>
      </c>
      <c r="N20" s="18" t="n">
        <f aca="false">IFERROR(__xludf.dummyfunction("""COMPUTED_VALUE"""),0)</f>
        <v>0</v>
      </c>
      <c r="O20" s="18" t="n">
        <f aca="false">IFERROR(__xludf.dummyfunction("""COMPUTED_VALUE"""),0)</f>
        <v>0</v>
      </c>
      <c r="P20" s="18"/>
      <c r="Q20" s="18"/>
      <c r="R20" s="18" t="n">
        <f aca="false">IFERROR(__xludf.dummyfunction("""COMPUTED_VALUE"""),0)</f>
        <v>0</v>
      </c>
      <c r="S20" s="18" t="n">
        <f aca="false">IFERROR(__xludf.dummyfunction("""COMPUTED_VALUE"""),8008509141)</f>
        <v>8008509141</v>
      </c>
      <c r="T20" s="18" t="n">
        <f aca="false">IFERROR(__xludf.dummyfunction("""COMPUTED_VALUE"""),30994851)</f>
        <v>30994851</v>
      </c>
      <c r="U20" s="18" t="str">
        <f aca="false">IFERROR(__xludf.dummyfunction("""COMPUTED_VALUE"""),"3,3*2*1,7")</f>
        <v>3,3*2*1,7</v>
      </c>
      <c r="V20" s="18" t="str">
        <f aca="false">IFERROR(__xludf.dummyfunction("""COMPUTED_VALUE"""),"Нет")</f>
        <v>Нет</v>
      </c>
    </row>
    <row r="21" customFormat="false" ht="15.75" hidden="false" customHeight="false" outlineLevel="0" collapsed="false">
      <c r="A21" s="20" t="n">
        <f aca="false">IFERROR(__xludf.dummyfunction("""COMPUTED_VALUE"""),46240)</f>
        <v>46240</v>
      </c>
      <c r="B21" s="18" t="n">
        <f aca="false">IFERROR(__xludf.dummyfunction("""COMPUTED_VALUE"""),8008488545)</f>
        <v>8008488545</v>
      </c>
      <c r="C21" s="18" t="str">
        <f aca="false">IFERROR(__xludf.dummyfunction("""COMPUTED_VALUE"""),"К582ВЕ147/ВК298647")</f>
        <v>К582ВЕ147/ВК298647</v>
      </c>
      <c r="D21" s="18" t="str">
        <f aca="false">IFERROR(__xludf.dummyfunction("""COMPUTED_VALUE"""),"Приёмка")</f>
        <v>Приёмка</v>
      </c>
      <c r="E21" s="18" t="str">
        <f aca="false">IFERROR(__xludf.dummyfunction("""COMPUTED_VALUE"""),"Нет")</f>
        <v>Нет</v>
      </c>
      <c r="F21" s="19" t="n">
        <f aca="false">IFERROR(__xludf.dummyfunction("""COMPUTED_VALUE"""),0.604166666664241)</f>
        <v>0.604166666664241</v>
      </c>
      <c r="G21" s="19" t="n">
        <f aca="false">IFERROR(__xludf.dummyfunction("""COMPUTED_VALUE"""),0.611111111109494)</f>
        <v>0.611111111109494</v>
      </c>
      <c r="H21" s="19" t="n">
        <f aca="false">IFERROR(__xludf.dummyfunction("""COMPUTED_VALUE"""),0.643055555556202)</f>
        <v>0.643055555556202</v>
      </c>
      <c r="I21" s="19" t="n">
        <f aca="false">IFERROR(__xludf.dummyfunction("""COMPUTED_VALUE"""),0.645833333335759)</f>
        <v>0.645833333335759</v>
      </c>
      <c r="J21" s="18" t="n">
        <f aca="false">IFERROR(__xludf.dummyfunction("""COMPUTED_VALUE"""),62.429)</f>
        <v>62.429</v>
      </c>
      <c r="K21" s="18" t="n">
        <f aca="false">IFERROR(__xludf.dummyfunction("""COMPUTED_VALUE"""),62.429)</f>
        <v>62.429</v>
      </c>
      <c r="L21" s="18" t="n">
        <f aca="false">IFERROR(__xludf.dummyfunction("""COMPUTED_VALUE"""),0)</f>
        <v>0</v>
      </c>
      <c r="M21" s="18" t="n">
        <f aca="false">IFERROR(__xludf.dummyfunction("""COMPUTED_VALUE"""),0)</f>
        <v>0</v>
      </c>
      <c r="N21" s="18" t="n">
        <f aca="false">IFERROR(__xludf.dummyfunction("""COMPUTED_VALUE"""),0)</f>
        <v>0</v>
      </c>
      <c r="O21" s="18" t="n">
        <f aca="false">IFERROR(__xludf.dummyfunction("""COMPUTED_VALUE"""),0)</f>
        <v>0</v>
      </c>
      <c r="P21" s="18" t="str">
        <f aca="false">IFERROR(__xludf.dummyfunction("""COMPUTED_VALUE"""),"Без нареканий")</f>
        <v>Без нареканий</v>
      </c>
      <c r="Q21" s="18"/>
      <c r="R21" s="18" t="n">
        <f aca="false">IFERROR(__xludf.dummyfunction("""COMPUTED_VALUE"""),8008488545)</f>
        <v>8008488545</v>
      </c>
      <c r="S21" s="18" t="n">
        <f aca="false">IFERROR(__xludf.dummyfunction("""COMPUTED_VALUE"""),0)</f>
        <v>0</v>
      </c>
      <c r="T21" s="18" t="n">
        <f aca="false">IFERROR(__xludf.dummyfunction("""COMPUTED_VALUE"""),0)</f>
        <v>0</v>
      </c>
      <c r="U21" s="18" t="str">
        <f aca="false">IFERROR(__xludf.dummyfunction("""COMPUTED_VALUE"""),"13,6*2,5*2,7")</f>
        <v>13,6*2,5*2,7</v>
      </c>
      <c r="V21" s="18" t="str">
        <f aca="false">IFERROR(__xludf.dummyfunction("""COMPUTED_VALUE"""),"Нет")</f>
        <v>Нет</v>
      </c>
    </row>
    <row r="22" customFormat="false" ht="15.75" hidden="false" customHeight="false" outlineLevel="0" collapsed="false">
      <c r="A22" s="20" t="n">
        <f aca="false">IFERROR(__xludf.dummyfunction("""COMPUTED_VALUE"""),46241)</f>
        <v>46241</v>
      </c>
      <c r="B22" s="18" t="str">
        <f aca="false">IFERROR(__xludf.dummyfunction("""COMPUTED_VALUE"""),"8008488535/8008513662")</f>
        <v>8008488535/8008513662</v>
      </c>
      <c r="C22" s="18" t="str">
        <f aca="false">IFERROR(__xludf.dummyfunction("""COMPUTED_VALUE"""),"В867УХ147/АР306047")</f>
        <v>В867УХ147/АР306047</v>
      </c>
      <c r="D22" s="18" t="str">
        <f aca="false">IFERROR(__xludf.dummyfunction("""COMPUTED_VALUE"""),"Приёмка")</f>
        <v>Приёмка</v>
      </c>
      <c r="E22" s="18" t="str">
        <f aca="false">IFERROR(__xludf.dummyfunction("""COMPUTED_VALUE"""),"Нет")</f>
        <v>Нет</v>
      </c>
      <c r="F22" s="19" t="n">
        <f aca="false">IFERROR(__xludf.dummyfunction("""COMPUTED_VALUE"""),0.375)</f>
        <v>0.375</v>
      </c>
      <c r="G22" s="19" t="n">
        <f aca="false">IFERROR(__xludf.dummyfunction("""COMPUTED_VALUE"""),0.381944444445253)</f>
        <v>0.381944444445253</v>
      </c>
      <c r="H22" s="19" t="n">
        <f aca="false">IFERROR(__xludf.dummyfunction("""COMPUTED_VALUE"""),0.401388888887595)</f>
        <v>0.401388888887595</v>
      </c>
      <c r="I22" s="19" t="n">
        <f aca="false">IFERROR(__xludf.dummyfunction("""COMPUTED_VALUE"""),0.416666666664241)</f>
        <v>0.416666666664241</v>
      </c>
      <c r="J22" s="18" t="n">
        <f aca="false">IFERROR(__xludf.dummyfunction("""COMPUTED_VALUE"""),56.983)</f>
        <v>56.983</v>
      </c>
      <c r="K22" s="18" t="n">
        <f aca="false">IFERROR(__xludf.dummyfunction("""COMPUTED_VALUE"""),56.983)</f>
        <v>56.983</v>
      </c>
      <c r="L22" s="18" t="n">
        <f aca="false">IFERROR(__xludf.dummyfunction("""COMPUTED_VALUE"""),0)</f>
        <v>0</v>
      </c>
      <c r="M22" s="18" t="n">
        <f aca="false">IFERROR(__xludf.dummyfunction("""COMPUTED_VALUE"""),0)</f>
        <v>0</v>
      </c>
      <c r="N22" s="18" t="n">
        <f aca="false">IFERROR(__xludf.dummyfunction("""COMPUTED_VALUE"""),0)</f>
        <v>0</v>
      </c>
      <c r="O22" s="18" t="n">
        <f aca="false">IFERROR(__xludf.dummyfunction("""COMPUTED_VALUE"""),0)</f>
        <v>0</v>
      </c>
      <c r="P22" s="18" t="str">
        <f aca="false">IFERROR(__xludf.dummyfunction("""COMPUTED_VALUE"""),"Без нареканий")</f>
        <v>Без нареканий</v>
      </c>
      <c r="Q22" s="18"/>
      <c r="R22" s="18" t="str">
        <f aca="false">IFERROR(__xludf.dummyfunction("""COMPUTED_VALUE"""),"8008488535/8008513662")</f>
        <v>8008488535/8008513662</v>
      </c>
      <c r="S22" s="18" t="n">
        <f aca="false">IFERROR(__xludf.dummyfunction("""COMPUTED_VALUE"""),0)</f>
        <v>0</v>
      </c>
      <c r="T22" s="18" t="n">
        <f aca="false">IFERROR(__xludf.dummyfunction("""COMPUTED_VALUE"""),0)</f>
        <v>0</v>
      </c>
      <c r="U22" s="18" t="str">
        <f aca="false">IFERROR(__xludf.dummyfunction("""COMPUTED_VALUE"""),"13,6*2,48*2,7")</f>
        <v>13,6*2,48*2,7</v>
      </c>
      <c r="V22" s="18" t="str">
        <f aca="false">IFERROR(__xludf.dummyfunction("""COMPUTED_VALUE"""),"Нет")</f>
        <v>Нет</v>
      </c>
    </row>
    <row r="23" customFormat="false" ht="15.75" hidden="false" customHeight="false" outlineLevel="0" collapsed="false">
      <c r="A23" s="20" t="n">
        <f aca="false">IFERROR(__xludf.dummyfunction("""COMPUTED_VALUE"""),46241)</f>
        <v>46241</v>
      </c>
      <c r="B23" s="18" t="n">
        <f aca="false">IFERROR(__xludf.dummyfunction("""COMPUTED_VALUE"""),8008511318)</f>
        <v>8008511318</v>
      </c>
      <c r="C23" s="18" t="str">
        <f aca="false">IFERROR(__xludf.dummyfunction("""COMPUTED_VALUE"""),"У848МО761/СН339161")</f>
        <v>У848МО761/СН339161</v>
      </c>
      <c r="D23" s="18" t="str">
        <f aca="false">IFERROR(__xludf.dummyfunction("""COMPUTED_VALUE"""),"Отгрузка")</f>
        <v>Отгрузка</v>
      </c>
      <c r="E23" s="18" t="str">
        <f aca="false">IFERROR(__xludf.dummyfunction("""COMPUTED_VALUE"""),"Нет")</f>
        <v>Нет</v>
      </c>
      <c r="F23" s="19" t="n">
        <f aca="false">IFERROR(__xludf.dummyfunction("""COMPUTED_VALUE"""),0.375)</f>
        <v>0.375</v>
      </c>
      <c r="G23" s="19" t="n">
        <f aca="false">IFERROR(__xludf.dummyfunction("""COMPUTED_VALUE"""),0.395833333335759)</f>
        <v>0.395833333335759</v>
      </c>
      <c r="H23" s="19" t="n">
        <f aca="false">IFERROR(__xludf.dummyfunction("""COMPUTED_VALUE"""),0.440972222218988)</f>
        <v>0.440972222218988</v>
      </c>
      <c r="I23" s="19" t="n">
        <f aca="false">IFERROR(__xludf.dummyfunction("""COMPUTED_VALUE"""),0.458333333335759)</f>
        <v>0.458333333335759</v>
      </c>
      <c r="J23" s="18" t="n">
        <f aca="false">IFERROR(__xludf.dummyfunction("""COMPUTED_VALUE"""),31.717)</f>
        <v>31.717</v>
      </c>
      <c r="K23" s="18" t="n">
        <f aca="false">IFERROR(__xludf.dummyfunction("""COMPUTED_VALUE"""),0)</f>
        <v>0</v>
      </c>
      <c r="L23" s="18" t="n">
        <f aca="false">IFERROR(__xludf.dummyfunction("""COMPUTED_VALUE"""),0)</f>
        <v>0</v>
      </c>
      <c r="M23" s="18" t="n">
        <f aca="false">IFERROR(__xludf.dummyfunction("""COMPUTED_VALUE"""),0)</f>
        <v>0</v>
      </c>
      <c r="N23" s="18" t="n">
        <f aca="false">IFERROR(__xludf.dummyfunction("""COMPUTED_VALUE"""),31.717)</f>
        <v>31.717</v>
      </c>
      <c r="O23" s="18" t="n">
        <f aca="false">IFERROR(__xludf.dummyfunction("""COMPUTED_VALUE"""),0)</f>
        <v>0</v>
      </c>
      <c r="P23" s="18"/>
      <c r="Q23" s="18"/>
      <c r="R23" s="18" t="n">
        <f aca="false">IFERROR(__xludf.dummyfunction("""COMPUTED_VALUE"""),0)</f>
        <v>0</v>
      </c>
      <c r="S23" s="18" t="n">
        <f aca="false">IFERROR(__xludf.dummyfunction("""COMPUTED_VALUE"""),8008511318)</f>
        <v>8008511318</v>
      </c>
      <c r="T23" s="18" t="n">
        <f aca="false">IFERROR(__xludf.dummyfunction("""COMPUTED_VALUE"""),30994844)</f>
        <v>30994844</v>
      </c>
      <c r="U23" s="18" t="str">
        <f aca="false">IFERROR(__xludf.dummyfunction("""COMPUTED_VALUE"""),"13,6*2,5*2,7")</f>
        <v>13,6*2,5*2,7</v>
      </c>
      <c r="V23" s="18" t="str">
        <f aca="false">IFERROR(__xludf.dummyfunction("""COMPUTED_VALUE"""),"Нет")</f>
        <v>Нет</v>
      </c>
    </row>
    <row r="24" customFormat="false" ht="15.75" hidden="false" customHeight="false" outlineLevel="0" collapsed="false">
      <c r="A24" s="20" t="n">
        <f aca="false">IFERROR(__xludf.dummyfunction("""COMPUTED_VALUE"""),46241)</f>
        <v>46241</v>
      </c>
      <c r="B24" s="18" t="n">
        <f aca="false">IFERROR(__xludf.dummyfunction("""COMPUTED_VALUE"""),8008488542)</f>
        <v>8008488542</v>
      </c>
      <c r="C24" s="18" t="str">
        <f aca="false">IFERROR(__xludf.dummyfunction("""COMPUTED_VALUE"""),"Т375РР198/ЕА939978")</f>
        <v>Т375РР198/ЕА939978</v>
      </c>
      <c r="D24" s="18" t="str">
        <f aca="false">IFERROR(__xludf.dummyfunction("""COMPUTED_VALUE"""),"Приёмка")</f>
        <v>Приёмка</v>
      </c>
      <c r="E24" s="18" t="str">
        <f aca="false">IFERROR(__xludf.dummyfunction("""COMPUTED_VALUE"""),"Нет")</f>
        <v>Нет</v>
      </c>
      <c r="F24" s="19" t="n">
        <f aca="false">IFERROR(__xludf.dummyfunction("""COMPUTED_VALUE"""),0.541666666664241)</f>
        <v>0.541666666664241</v>
      </c>
      <c r="G24" s="19" t="n">
        <f aca="false">IFERROR(__xludf.dummyfunction("""COMPUTED_VALUE"""),0.566666666665697)</f>
        <v>0.566666666665697</v>
      </c>
      <c r="H24" s="19" t="n">
        <f aca="false">IFERROR(__xludf.dummyfunction("""COMPUTED_VALUE"""),0.595138888893416)</f>
        <v>0.595138888893416</v>
      </c>
      <c r="I24" s="19" t="n">
        <f aca="false">IFERROR(__xludf.dummyfunction("""COMPUTED_VALUE"""),0.604166666664241)</f>
        <v>0.604166666664241</v>
      </c>
      <c r="J24" s="18" t="n">
        <f aca="false">IFERROR(__xludf.dummyfunction("""COMPUTED_VALUE"""),65.173)</f>
        <v>65.173</v>
      </c>
      <c r="K24" s="18" t="n">
        <f aca="false">IFERROR(__xludf.dummyfunction("""COMPUTED_VALUE"""),65.173)</f>
        <v>65.173</v>
      </c>
      <c r="L24" s="18" t="n">
        <f aca="false">IFERROR(__xludf.dummyfunction("""COMPUTED_VALUE"""),0)</f>
        <v>0</v>
      </c>
      <c r="M24" s="18" t="n">
        <f aca="false">IFERROR(__xludf.dummyfunction("""COMPUTED_VALUE"""),0)</f>
        <v>0</v>
      </c>
      <c r="N24" s="18" t="n">
        <f aca="false">IFERROR(__xludf.dummyfunction("""COMPUTED_VALUE"""),0)</f>
        <v>0</v>
      </c>
      <c r="O24" s="18" t="n">
        <f aca="false">IFERROR(__xludf.dummyfunction("""COMPUTED_VALUE"""),0)</f>
        <v>0</v>
      </c>
      <c r="P24" s="18" t="str">
        <f aca="false">IFERROR(__xludf.dummyfunction("""COMPUTED_VALUE"""),"Без нареканий")</f>
        <v>Без нареканий</v>
      </c>
      <c r="Q24" s="18"/>
      <c r="R24" s="18" t="n">
        <f aca="false">IFERROR(__xludf.dummyfunction("""COMPUTED_VALUE"""),8008488542)</f>
        <v>8008488542</v>
      </c>
      <c r="S24" s="18" t="n">
        <f aca="false">IFERROR(__xludf.dummyfunction("""COMPUTED_VALUE"""),0)</f>
        <v>0</v>
      </c>
      <c r="T24" s="18" t="n">
        <f aca="false">IFERROR(__xludf.dummyfunction("""COMPUTED_VALUE"""),0)</f>
        <v>0</v>
      </c>
      <c r="U24" s="18" t="str">
        <f aca="false">IFERROR(__xludf.dummyfunction("""COMPUTED_VALUE"""),"13,6*2,48*2,7")</f>
        <v>13,6*2,48*2,7</v>
      </c>
      <c r="V24" s="18" t="str">
        <f aca="false">IFERROR(__xludf.dummyfunction("""COMPUTED_VALUE"""),"Нет")</f>
        <v>Нет</v>
      </c>
    </row>
    <row r="25" customFormat="false" ht="15.75" hidden="false" customHeight="false" outlineLevel="0" collapsed="false">
      <c r="A25" s="20" t="n">
        <f aca="false">IFERROR(__xludf.dummyfunction("""COMPUTED_VALUE"""),46241)</f>
        <v>46241</v>
      </c>
      <c r="B25" s="18" t="str">
        <f aca="false">IFERROR(__xludf.dummyfunction("""COMPUTED_VALUE"""),"8008510761/8008513470")</f>
        <v>8008510761/8008513470</v>
      </c>
      <c r="C25" s="18" t="str">
        <f aca="false">IFERROR(__xludf.dummyfunction("""COMPUTED_VALUE"""),"О216МК198")</f>
        <v>О216МК198</v>
      </c>
      <c r="D25" s="18" t="str">
        <f aca="false">IFERROR(__xludf.dummyfunction("""COMPUTED_VALUE"""),"Отгрузка")</f>
        <v>Отгрузка</v>
      </c>
      <c r="E25" s="18" t="str">
        <f aca="false">IFERROR(__xludf.dummyfunction("""COMPUTED_VALUE"""),"Нет")</f>
        <v>Нет</v>
      </c>
      <c r="F25" s="19" t="n">
        <f aca="false">IFERROR(__xludf.dummyfunction("""COMPUTED_VALUE"""),0.583333333335759)</f>
        <v>0.583333333335759</v>
      </c>
      <c r="G25" s="19" t="n">
        <f aca="false">IFERROR(__xludf.dummyfunction("""COMPUTED_VALUE"""),0.598611111112405)</f>
        <v>0.598611111112405</v>
      </c>
      <c r="H25" s="19" t="n">
        <f aca="false">IFERROR(__xludf.dummyfunction("""COMPUTED_VALUE"""),0.601388888884685)</f>
        <v>0.601388888884685</v>
      </c>
      <c r="I25" s="19" t="n">
        <f aca="false">IFERROR(__xludf.dummyfunction("""COMPUTED_VALUE"""),0.625)</f>
        <v>0.625</v>
      </c>
      <c r="J25" s="18" t="n">
        <f aca="false">IFERROR(__xludf.dummyfunction("""COMPUTED_VALUE"""),0.633)</f>
        <v>0.633</v>
      </c>
      <c r="K25" s="18" t="n">
        <f aca="false">IFERROR(__xludf.dummyfunction("""COMPUTED_VALUE"""),0)</f>
        <v>0</v>
      </c>
      <c r="L25" s="18" t="n">
        <f aca="false">IFERROR(__xludf.dummyfunction("""COMPUTED_VALUE"""),0)</f>
        <v>0</v>
      </c>
      <c r="M25" s="18" t="n">
        <f aca="false">IFERROR(__xludf.dummyfunction("""COMPUTED_VALUE"""),0)</f>
        <v>0</v>
      </c>
      <c r="N25" s="18" t="n">
        <f aca="false">IFERROR(__xludf.dummyfunction("""COMPUTED_VALUE"""),0.633)</f>
        <v>0.633</v>
      </c>
      <c r="O25" s="18" t="n">
        <f aca="false">IFERROR(__xludf.dummyfunction("""COMPUTED_VALUE"""),0)</f>
        <v>0</v>
      </c>
      <c r="P25" s="18"/>
      <c r="Q25" s="18"/>
      <c r="R25" s="18" t="n">
        <f aca="false">IFERROR(__xludf.dummyfunction("""COMPUTED_VALUE"""),0)</f>
        <v>0</v>
      </c>
      <c r="S25" s="18" t="str">
        <f aca="false">IFERROR(__xludf.dummyfunction("""COMPUTED_VALUE"""),"8008510761/8008513470")</f>
        <v>8008510761/8008513470</v>
      </c>
      <c r="T25" s="18" t="n">
        <f aca="false">IFERROR(__xludf.dummyfunction("""COMPUTED_VALUE"""),30994849)</f>
        <v>30994849</v>
      </c>
      <c r="U25" s="18" t="str">
        <f aca="false">IFERROR(__xludf.dummyfunction("""COMPUTED_VALUE"""),"5,6*2,2*2,3")</f>
        <v>5,6*2,2*2,3</v>
      </c>
      <c r="V25" s="18" t="str">
        <f aca="false">IFERROR(__xludf.dummyfunction("""COMPUTED_VALUE"""),"Нет")</f>
        <v>Нет</v>
      </c>
    </row>
    <row r="26" customFormat="false" ht="15.75" hidden="false" customHeight="false" outlineLevel="0" collapsed="false">
      <c r="A26" s="20" t="n">
        <f aca="false">IFERROR(__xludf.dummyfunction("""COMPUTED_VALUE"""),46241)</f>
        <v>46241</v>
      </c>
      <c r="B26" s="18" t="str">
        <f aca="false">IFERROR(__xludf.dummyfunction("""COMPUTED_VALUE"""),"8008510641/8008510647/8008510653/8008513120/8008513131/8008513466")</f>
        <v>8008510641/8008510647/8008510653/8008513120/8008513131/8008513466</v>
      </c>
      <c r="C26" s="18" t="str">
        <f aca="false">IFERROR(__xludf.dummyfunction("""COMPUTED_VALUE"""),"BB17427/A5315I7")</f>
        <v>BB17427/A5315I7</v>
      </c>
      <c r="D26" s="18" t="str">
        <f aca="false">IFERROR(__xludf.dummyfunction("""COMPUTED_VALUE"""),"Отгрузка")</f>
        <v>Отгрузка</v>
      </c>
      <c r="E26" s="18" t="str">
        <f aca="false">IFERROR(__xludf.dummyfunction("""COMPUTED_VALUE"""),"Нет")</f>
        <v>Нет</v>
      </c>
      <c r="F26" s="19" t="n">
        <f aca="false">IFERROR(__xludf.dummyfunction("""COMPUTED_VALUE"""),0.479166666664241)</f>
        <v>0.479166666664241</v>
      </c>
      <c r="G26" s="19" t="n">
        <f aca="false">IFERROR(__xludf.dummyfunction("""COMPUTED_VALUE"""),0.489583333335759)</f>
        <v>0.489583333335759</v>
      </c>
      <c r="H26" s="19" t="n">
        <f aca="false">IFERROR(__xludf.dummyfunction("""COMPUTED_VALUE"""),0.579861111109494)</f>
        <v>0.579861111109494</v>
      </c>
      <c r="I26" s="19" t="n">
        <f aca="false">IFERROR(__xludf.dummyfunction("""COMPUTED_VALUE"""),0.6875)</f>
        <v>0.6875</v>
      </c>
      <c r="J26" s="18" t="n">
        <f aca="false">IFERROR(__xludf.dummyfunction("""COMPUTED_VALUE"""),51.5)</f>
        <v>51.5</v>
      </c>
      <c r="K26" s="18" t="n">
        <f aca="false">IFERROR(__xludf.dummyfunction("""COMPUTED_VALUE"""),0)</f>
        <v>0</v>
      </c>
      <c r="L26" s="18" t="n">
        <f aca="false">IFERROR(__xludf.dummyfunction("""COMPUTED_VALUE"""),0)</f>
        <v>0</v>
      </c>
      <c r="M26" s="18" t="n">
        <f aca="false">IFERROR(__xludf.dummyfunction("""COMPUTED_VALUE"""),0)</f>
        <v>0</v>
      </c>
      <c r="N26" s="18" t="n">
        <f aca="false">IFERROR(__xludf.dummyfunction("""COMPUTED_VALUE"""),51.5)</f>
        <v>51.5</v>
      </c>
      <c r="O26" s="18" t="n">
        <f aca="false">IFERROR(__xludf.dummyfunction("""COMPUTED_VALUE"""),0)</f>
        <v>0</v>
      </c>
      <c r="P26" s="18"/>
      <c r="Q26" s="18"/>
      <c r="R26" s="18" t="n">
        <f aca="false">IFERROR(__xludf.dummyfunction("""COMPUTED_VALUE"""),0)</f>
        <v>0</v>
      </c>
      <c r="S26" s="18" t="str">
        <f aca="false">IFERROR(__xludf.dummyfunction("""COMPUTED_VALUE"""),"8008510641/8008510647/8008510653/8008513120/8008513131/8008513466")</f>
        <v>8008510641/8008510647/8008510653/8008513120/8008513131/8008513466</v>
      </c>
      <c r="T26" s="18" t="n">
        <f aca="false">IFERROR(__xludf.dummyfunction("""COMPUTED_VALUE"""),30994845)</f>
        <v>30994845</v>
      </c>
      <c r="U26" s="18" t="str">
        <f aca="false">IFERROR(__xludf.dummyfunction("""COMPUTED_VALUE"""),"13,6*2,45*2,7")</f>
        <v>13,6*2,45*2,7</v>
      </c>
      <c r="V26" s="18" t="str">
        <f aca="false">IFERROR(__xludf.dummyfunction("""COMPUTED_VALUE"""),"Нет")</f>
        <v>Нет</v>
      </c>
    </row>
    <row r="27" customFormat="false" ht="15.75" hidden="false" customHeight="false" outlineLevel="0" collapsed="false">
      <c r="A27" s="20" t="n">
        <f aca="false">IFERROR(__xludf.dummyfunction("""COMPUTED_VALUE"""),46244)</f>
        <v>46244</v>
      </c>
      <c r="B27" s="18" t="str">
        <f aca="false">IFERROR(__xludf.dummyfunction("""COMPUTED_VALUE"""),"8008514702/8008515608")</f>
        <v>8008514702/8008515608</v>
      </c>
      <c r="C27" s="18" t="str">
        <f aca="false">IFERROR(__xludf.dummyfunction("""COMPUTED_VALUE"""),"Р552ВО198")</f>
        <v>Р552ВО198</v>
      </c>
      <c r="D27" s="18" t="str">
        <f aca="false">IFERROR(__xludf.dummyfunction("""COMPUTED_VALUE"""),"Отгрузка")</f>
        <v>Отгрузка</v>
      </c>
      <c r="E27" s="18" t="str">
        <f aca="false">IFERROR(__xludf.dummyfunction("""COMPUTED_VALUE"""),"Нет")</f>
        <v>Нет</v>
      </c>
      <c r="F27" s="19" t="n">
        <f aca="false">IFERROR(__xludf.dummyfunction("""COMPUTED_VALUE"""),0.402777777781012)</f>
        <v>0.402777777781012</v>
      </c>
      <c r="G27" s="19" t="n">
        <f aca="false">IFERROR(__xludf.dummyfunction("""COMPUTED_VALUE"""),0.413194444445253)</f>
        <v>0.413194444445253</v>
      </c>
      <c r="H27" s="19" t="n">
        <f aca="false">IFERROR(__xludf.dummyfunction("""COMPUTED_VALUE"""),0.440972222218988)</f>
        <v>0.440972222218988</v>
      </c>
      <c r="I27" s="19" t="n">
        <f aca="false">IFERROR(__xludf.dummyfunction("""COMPUTED_VALUE"""),0.479166666664241)</f>
        <v>0.479166666664241</v>
      </c>
      <c r="J27" s="18" t="n">
        <f aca="false">IFERROR(__xludf.dummyfunction("""COMPUTED_VALUE"""),39.384)</f>
        <v>39.384</v>
      </c>
      <c r="K27" s="18" t="n">
        <f aca="false">IFERROR(__xludf.dummyfunction("""COMPUTED_VALUE"""),0)</f>
        <v>0</v>
      </c>
      <c r="L27" s="18" t="n">
        <f aca="false">IFERROR(__xludf.dummyfunction("""COMPUTED_VALUE"""),0)</f>
        <v>0</v>
      </c>
      <c r="M27" s="18" t="n">
        <f aca="false">IFERROR(__xludf.dummyfunction("""COMPUTED_VALUE"""),0)</f>
        <v>0</v>
      </c>
      <c r="N27" s="18" t="n">
        <f aca="false">IFERROR(__xludf.dummyfunction("""COMPUTED_VALUE"""),39.384)</f>
        <v>39.384</v>
      </c>
      <c r="O27" s="18" t="n">
        <f aca="false">IFERROR(__xludf.dummyfunction("""COMPUTED_VALUE"""),0)</f>
        <v>0</v>
      </c>
      <c r="P27" s="18"/>
      <c r="Q27" s="18"/>
      <c r="R27" s="18" t="n">
        <f aca="false">IFERROR(__xludf.dummyfunction("""COMPUTED_VALUE"""),0)</f>
        <v>0</v>
      </c>
      <c r="S27" s="18" t="str">
        <f aca="false">IFERROR(__xludf.dummyfunction("""COMPUTED_VALUE"""),"8008514702/8008515608")</f>
        <v>8008514702/8008515608</v>
      </c>
      <c r="T27" s="18" t="n">
        <f aca="false">IFERROR(__xludf.dummyfunction("""COMPUTED_VALUE"""),30994846)</f>
        <v>30994846</v>
      </c>
      <c r="U27" s="18" t="str">
        <f aca="false">IFERROR(__xludf.dummyfunction("""COMPUTED_VALUE"""),"7,4*2*2,5")</f>
        <v>7,4*2*2,5</v>
      </c>
      <c r="V27" s="18" t="str">
        <f aca="false">IFERROR(__xludf.dummyfunction("""COMPUTED_VALUE"""),"Нет")</f>
        <v>Нет</v>
      </c>
    </row>
    <row r="28" customFormat="false" ht="15.75" hidden="false" customHeight="false" outlineLevel="0" collapsed="false">
      <c r="A28" s="20" t="n">
        <f aca="false">IFERROR(__xludf.dummyfunction("""COMPUTED_VALUE"""),46244)</f>
        <v>46244</v>
      </c>
      <c r="B28" s="18" t="str">
        <f aca="false">IFERROR(__xludf.dummyfunction("""COMPUTED_VALUE"""),"8008480507/8008516142")</f>
        <v>8008480507/8008516142</v>
      </c>
      <c r="C28" s="18" t="str">
        <f aca="false">IFERROR(__xludf.dummyfunction("""COMPUTED_VALUE"""),"В867УХ147/АР306047")</f>
        <v>В867УХ147/АР306047</v>
      </c>
      <c r="D28" s="18" t="str">
        <f aca="false">IFERROR(__xludf.dummyfunction("""COMPUTED_VALUE"""),"Приёмка")</f>
        <v>Приёмка</v>
      </c>
      <c r="E28" s="18" t="str">
        <f aca="false">IFERROR(__xludf.dummyfunction("""COMPUTED_VALUE"""),"Нет")</f>
        <v>Нет</v>
      </c>
      <c r="F28" s="19" t="n">
        <f aca="false">IFERROR(__xludf.dummyfunction("""COMPUTED_VALUE"""),0.5)</f>
        <v>0.5</v>
      </c>
      <c r="G28" s="19" t="n">
        <f aca="false">IFERROR(__xludf.dummyfunction("""COMPUTED_VALUE"""),0.534722222218989)</f>
        <v>0.534722222218989</v>
      </c>
      <c r="H28" s="19" t="n">
        <f aca="false">IFERROR(__xludf.dummyfunction("""COMPUTED_VALUE"""),0.555555555554747)</f>
        <v>0.555555555554747</v>
      </c>
      <c r="I28" s="19" t="n">
        <f aca="false">IFERROR(__xludf.dummyfunction("""COMPUTED_VALUE"""),0.583333333335759)</f>
        <v>0.583333333335759</v>
      </c>
      <c r="J28" s="18" t="n">
        <f aca="false">IFERROR(__xludf.dummyfunction("""COMPUTED_VALUE"""),46.072)</f>
        <v>46.072</v>
      </c>
      <c r="K28" s="18" t="n">
        <f aca="false">IFERROR(__xludf.dummyfunction("""COMPUTED_VALUE"""),46.072)</f>
        <v>46.072</v>
      </c>
      <c r="L28" s="18" t="n">
        <f aca="false">IFERROR(__xludf.dummyfunction("""COMPUTED_VALUE"""),0)</f>
        <v>0</v>
      </c>
      <c r="M28" s="18" t="n">
        <f aca="false">IFERROR(__xludf.dummyfunction("""COMPUTED_VALUE"""),0)</f>
        <v>0</v>
      </c>
      <c r="N28" s="18" t="n">
        <f aca="false">IFERROR(__xludf.dummyfunction("""COMPUTED_VALUE"""),0)</f>
        <v>0</v>
      </c>
      <c r="O28" s="18" t="n">
        <f aca="false">IFERROR(__xludf.dummyfunction("""COMPUTED_VALUE"""),0)</f>
        <v>0</v>
      </c>
      <c r="P28" s="18" t="str">
        <f aca="false">IFERROR(__xludf.dummyfunction("""COMPUTED_VALUE"""),"Без нареканий")</f>
        <v>Без нареканий</v>
      </c>
      <c r="Q28" s="18"/>
      <c r="R28" s="18" t="str">
        <f aca="false">IFERROR(__xludf.dummyfunction("""COMPUTED_VALUE"""),"8008480507/8008516142")</f>
        <v>8008480507/8008516142</v>
      </c>
      <c r="S28" s="18" t="n">
        <f aca="false">IFERROR(__xludf.dummyfunction("""COMPUTED_VALUE"""),0)</f>
        <v>0</v>
      </c>
      <c r="T28" s="18" t="n">
        <f aca="false">IFERROR(__xludf.dummyfunction("""COMPUTED_VALUE"""),0)</f>
        <v>0</v>
      </c>
      <c r="U28" s="18" t="str">
        <f aca="false">IFERROR(__xludf.dummyfunction("""COMPUTED_VALUE"""),"13,4*2,5*2,7")</f>
        <v>13,4*2,5*2,7</v>
      </c>
      <c r="V28" s="18" t="str">
        <f aca="false">IFERROR(__xludf.dummyfunction("""COMPUTED_VALUE"""),"Нет")</f>
        <v>Нет</v>
      </c>
    </row>
    <row r="29" customFormat="false" ht="15.75" hidden="false" customHeight="false" outlineLevel="0" collapsed="false">
      <c r="A29" s="20" t="n">
        <f aca="false">IFERROR(__xludf.dummyfunction("""COMPUTED_VALUE"""),46244)</f>
        <v>46244</v>
      </c>
      <c r="B29" s="18" t="str">
        <f aca="false">IFERROR(__xludf.dummyfunction("""COMPUTED_VALUE"""),"8008515545/8008515929")</f>
        <v>8008515545/8008515929</v>
      </c>
      <c r="C29" s="18" t="str">
        <f aca="false">IFERROR(__xludf.dummyfunction("""COMPUTED_VALUE"""),"А444СН36/ВЕ038936")</f>
        <v>А444СН36/ВЕ038936</v>
      </c>
      <c r="D29" s="18" t="str">
        <f aca="false">IFERROR(__xludf.dummyfunction("""COMPUTED_VALUE"""),"Отгрузка")</f>
        <v>Отгрузка</v>
      </c>
      <c r="E29" s="18" t="str">
        <f aca="false">IFERROR(__xludf.dummyfunction("""COMPUTED_VALUE"""),"Нет")</f>
        <v>Нет</v>
      </c>
      <c r="F29" s="19" t="n">
        <f aca="false">IFERROR(__xludf.dummyfunction("""COMPUTED_VALUE"""),0.479166666664241)</f>
        <v>0.479166666664241</v>
      </c>
      <c r="G29" s="19" t="n">
        <f aca="false">IFERROR(__xludf.dummyfunction("""COMPUTED_VALUE"""),0.489583333335759)</f>
        <v>0.489583333335759</v>
      </c>
      <c r="H29" s="19" t="n">
        <f aca="false">IFERROR(__xludf.dummyfunction("""COMPUTED_VALUE"""),0.555555555554747)</f>
        <v>0.555555555554747</v>
      </c>
      <c r="I29" s="19" t="n">
        <f aca="false">IFERROR(__xludf.dummyfunction("""COMPUTED_VALUE"""),0.604166666664241)</f>
        <v>0.604166666664241</v>
      </c>
      <c r="J29" s="18" t="n">
        <f aca="false">IFERROR(__xludf.dummyfunction("""COMPUTED_VALUE"""),58.283)</f>
        <v>58.283</v>
      </c>
      <c r="K29" s="18" t="n">
        <f aca="false">IFERROR(__xludf.dummyfunction("""COMPUTED_VALUE"""),0)</f>
        <v>0</v>
      </c>
      <c r="L29" s="18" t="n">
        <f aca="false">IFERROR(__xludf.dummyfunction("""COMPUTED_VALUE"""),58.283)</f>
        <v>58.283</v>
      </c>
      <c r="M29" s="18" t="n">
        <f aca="false">IFERROR(__xludf.dummyfunction("""COMPUTED_VALUE"""),0)</f>
        <v>0</v>
      </c>
      <c r="N29" s="18" t="n">
        <f aca="false">IFERROR(__xludf.dummyfunction("""COMPUTED_VALUE"""),0)</f>
        <v>0</v>
      </c>
      <c r="O29" s="18" t="n">
        <f aca="false">IFERROR(__xludf.dummyfunction("""COMPUTED_VALUE"""),0)</f>
        <v>0</v>
      </c>
      <c r="P29" s="18"/>
      <c r="Q29" s="18"/>
      <c r="R29" s="18" t="n">
        <f aca="false">IFERROR(__xludf.dummyfunction("""COMPUTED_VALUE"""),0)</f>
        <v>0</v>
      </c>
      <c r="S29" s="18" t="str">
        <f aca="false">IFERROR(__xludf.dummyfunction("""COMPUTED_VALUE"""),"8008515545/8008515929")</f>
        <v>8008515545/8008515929</v>
      </c>
      <c r="T29" s="18" t="n">
        <f aca="false">IFERROR(__xludf.dummyfunction("""COMPUTED_VALUE"""),30994842)</f>
        <v>30994842</v>
      </c>
      <c r="U29" s="18" t="str">
        <f aca="false">IFERROR(__xludf.dummyfunction("""COMPUTED_VALUE"""),"13,6*2,5*2,7")</f>
        <v>13,6*2,5*2,7</v>
      </c>
      <c r="V29" s="18" t="str">
        <f aca="false">IFERROR(__xludf.dummyfunction("""COMPUTED_VALUE"""),"Нет")</f>
        <v>Нет</v>
      </c>
    </row>
    <row r="30" customFormat="false" ht="15.75" hidden="false" customHeight="false" outlineLevel="0" collapsed="false">
      <c r="A30" s="20" t="n">
        <f aca="false">IFERROR(__xludf.dummyfunction("""COMPUTED_VALUE"""),46244)</f>
        <v>46244</v>
      </c>
      <c r="B30" s="18" t="str">
        <f aca="false">IFERROR(__xludf.dummyfunction("""COMPUTED_VALUE"""),"8008501500/8008509617/8008514288/8008514392/8008514680")</f>
        <v>8008501500/8008509617/8008514288/8008514392/8008514680</v>
      </c>
      <c r="C30" s="18" t="str">
        <f aca="false">IFERROR(__xludf.dummyfunction("""COMPUTED_VALUE"""),"B713CT134\ЕА230834")</f>
        <v>B713CT134\ЕА230834</v>
      </c>
      <c r="D30" s="18" t="str">
        <f aca="false">IFERROR(__xludf.dummyfunction("""COMPUTED_VALUE"""),"Отгрузка")</f>
        <v>Отгрузка</v>
      </c>
      <c r="E30" s="18" t="str">
        <f aca="false">IFERROR(__xludf.dummyfunction("""COMPUTED_VALUE"""),"Нет")</f>
        <v>Нет</v>
      </c>
      <c r="F30" s="19" t="n">
        <f aca="false">IFERROR(__xludf.dummyfunction("""COMPUTED_VALUE"""),0.5)</f>
        <v>0.5</v>
      </c>
      <c r="G30" s="19" t="n">
        <f aca="false">IFERROR(__xludf.dummyfunction("""COMPUTED_VALUE"""),0.53125)</f>
        <v>0.53125</v>
      </c>
      <c r="H30" s="19" t="n">
        <f aca="false">IFERROR(__xludf.dummyfunction("""COMPUTED_VALUE"""),0.586805555554747)</f>
        <v>0.586805555554747</v>
      </c>
      <c r="I30" s="19" t="n">
        <f aca="false">IFERROR(__xludf.dummyfunction("""COMPUTED_VALUE"""),0.625)</f>
        <v>0.625</v>
      </c>
      <c r="J30" s="18" t="n">
        <f aca="false">IFERROR(__xludf.dummyfunction("""COMPUTED_VALUE"""),56.205)</f>
        <v>56.205</v>
      </c>
      <c r="K30" s="18" t="n">
        <f aca="false">IFERROR(__xludf.dummyfunction("""COMPUTED_VALUE"""),0)</f>
        <v>0</v>
      </c>
      <c r="L30" s="18" t="n">
        <f aca="false">IFERROR(__xludf.dummyfunction("""COMPUTED_VALUE"""),0)</f>
        <v>0</v>
      </c>
      <c r="M30" s="18" t="n">
        <f aca="false">IFERROR(__xludf.dummyfunction("""COMPUTED_VALUE"""),0)</f>
        <v>0</v>
      </c>
      <c r="N30" s="18" t="n">
        <f aca="false">IFERROR(__xludf.dummyfunction("""COMPUTED_VALUE"""),56.205)</f>
        <v>56.205</v>
      </c>
      <c r="O30" s="18" t="n">
        <f aca="false">IFERROR(__xludf.dummyfunction("""COMPUTED_VALUE"""),0)</f>
        <v>0</v>
      </c>
      <c r="P30" s="18"/>
      <c r="Q30" s="18"/>
      <c r="R30" s="18" t="n">
        <f aca="false">IFERROR(__xludf.dummyfunction("""COMPUTED_VALUE"""),0)</f>
        <v>0</v>
      </c>
      <c r="S30" s="18" t="str">
        <f aca="false">IFERROR(__xludf.dummyfunction("""COMPUTED_VALUE"""),"8008501500/8008509617/8008514288/8008514392/8008514680")</f>
        <v>8008501500/8008509617/8008514288/8008514392/8008514680</v>
      </c>
      <c r="T30" s="18" t="n">
        <f aca="false">IFERROR(__xludf.dummyfunction("""COMPUTED_VALUE"""),30994833)</f>
        <v>30994833</v>
      </c>
      <c r="U30" s="18" t="str">
        <f aca="false">IFERROR(__xludf.dummyfunction("""COMPUTED_VALUE"""),"13,6*2,4*2,7")</f>
        <v>13,6*2,4*2,7</v>
      </c>
      <c r="V30" s="18" t="str">
        <f aca="false">IFERROR(__xludf.dummyfunction("""COMPUTED_VALUE"""),"Нет")</f>
        <v>Нет</v>
      </c>
    </row>
    <row r="31" customFormat="false" ht="15.75" hidden="false" customHeight="false" outlineLevel="0" collapsed="false">
      <c r="A31" s="20" t="n">
        <f aca="false">IFERROR(__xludf.dummyfunction("""COMPUTED_VALUE"""),46244)</f>
        <v>46244</v>
      </c>
      <c r="B31" s="18" t="n">
        <f aca="false">IFERROR(__xludf.dummyfunction("""COMPUTED_VALUE"""),84938085)</f>
        <v>84938085</v>
      </c>
      <c r="C31" s="18" t="str">
        <f aca="false">IFERROR(__xludf.dummyfunction("""COMPUTED_VALUE"""),"К106УР178")</f>
        <v>К106УР178</v>
      </c>
      <c r="D31" s="18" t="str">
        <f aca="false">IFERROR(__xludf.dummyfunction("""COMPUTED_VALUE"""),"Приёмка")</f>
        <v>Приёмка</v>
      </c>
      <c r="E31" s="18" t="str">
        <f aca="false">IFERROR(__xludf.dummyfunction("""COMPUTED_VALUE"""),"Нет")</f>
        <v>Нет</v>
      </c>
      <c r="F31" s="19" t="n">
        <f aca="false">IFERROR(__xludf.dummyfunction("""COMPUTED_VALUE"""),0.5625)</f>
        <v>0.5625</v>
      </c>
      <c r="G31" s="19" t="n">
        <f aca="false">IFERROR(__xludf.dummyfunction("""COMPUTED_VALUE"""),0.565972222218989)</f>
        <v>0.565972222218989</v>
      </c>
      <c r="H31" s="19" t="n">
        <f aca="false">IFERROR(__xludf.dummyfunction("""COMPUTED_VALUE"""),0.569444444445253)</f>
        <v>0.569444444445253</v>
      </c>
      <c r="I31" s="19" t="n">
        <f aca="false">IFERROR(__xludf.dummyfunction("""COMPUTED_VALUE"""),0.583333333335759)</f>
        <v>0.583333333335759</v>
      </c>
      <c r="J31" s="18" t="n">
        <f aca="false">IFERROR(__xludf.dummyfunction("""COMPUTED_VALUE"""),0.81)</f>
        <v>0.81</v>
      </c>
      <c r="K31" s="18" t="n">
        <f aca="false">IFERROR(__xludf.dummyfunction("""COMPUTED_VALUE"""),0.81)</f>
        <v>0.81</v>
      </c>
      <c r="L31" s="18" t="n">
        <f aca="false">IFERROR(__xludf.dummyfunction("""COMPUTED_VALUE"""),0)</f>
        <v>0</v>
      </c>
      <c r="M31" s="18" t="n">
        <f aca="false">IFERROR(__xludf.dummyfunction("""COMPUTED_VALUE"""),0)</f>
        <v>0</v>
      </c>
      <c r="N31" s="18" t="n">
        <f aca="false">IFERROR(__xludf.dummyfunction("""COMPUTED_VALUE"""),0)</f>
        <v>0</v>
      </c>
      <c r="O31" s="18" t="n">
        <f aca="false">IFERROR(__xludf.dummyfunction("""COMPUTED_VALUE"""),0)</f>
        <v>0</v>
      </c>
      <c r="P31" s="18"/>
      <c r="Q31" s="18"/>
      <c r="R31" s="18" t="n">
        <f aca="false">IFERROR(__xludf.dummyfunction("""COMPUTED_VALUE"""),84938085)</f>
        <v>84938085</v>
      </c>
      <c r="S31" s="18" t="n">
        <f aca="false">IFERROR(__xludf.dummyfunction("""COMPUTED_VALUE"""),0)</f>
        <v>0</v>
      </c>
      <c r="T31" s="18" t="n">
        <f aca="false">IFERROR(__xludf.dummyfunction("""COMPUTED_VALUE"""),0)</f>
        <v>0</v>
      </c>
      <c r="U31" s="18" t="str">
        <f aca="false">IFERROR(__xludf.dummyfunction("""COMPUTED_VALUE"""),"3.3*2*1.7")</f>
        <v>3.3*2*1.7</v>
      </c>
      <c r="V31" s="18" t="str">
        <f aca="false">IFERROR(__xludf.dummyfunction("""COMPUTED_VALUE"""),"Нет")</f>
        <v>Нет</v>
      </c>
    </row>
    <row r="32" customFormat="false" ht="15.75" hidden="false" customHeight="false" outlineLevel="0" collapsed="false">
      <c r="A32" s="20" t="n">
        <f aca="false">IFERROR(__xludf.dummyfunction("""COMPUTED_VALUE"""),46245)</f>
        <v>46245</v>
      </c>
      <c r="B32" s="18" t="str">
        <f aca="false">IFERROR(__xludf.dummyfunction("""COMPUTED_VALUE"""),"8008516713/8008518354")</f>
        <v>8008516713/8008518354</v>
      </c>
      <c r="C32" s="18" t="str">
        <f aca="false">IFERROR(__xludf.dummyfunction("""COMPUTED_VALUE"""),"C010OK198/ЕЕ043778")</f>
        <v>C010OK198/ЕЕ043778</v>
      </c>
      <c r="D32" s="18" t="str">
        <f aca="false">IFERROR(__xludf.dummyfunction("""COMPUTED_VALUE"""),"Отгрузка")</f>
        <v>Отгрузка</v>
      </c>
      <c r="E32" s="18" t="str">
        <f aca="false">IFERROR(__xludf.dummyfunction("""COMPUTED_VALUE"""),"Нет")</f>
        <v>Нет</v>
      </c>
      <c r="F32" s="19" t="n">
        <f aca="false">IFERROR(__xludf.dummyfunction("""COMPUTED_VALUE"""),0.395833333335759)</f>
        <v>0.395833333335759</v>
      </c>
      <c r="G32" s="19" t="n">
        <f aca="false">IFERROR(__xludf.dummyfunction("""COMPUTED_VALUE"""),0.409722222218988)</f>
        <v>0.409722222218988</v>
      </c>
      <c r="H32" s="19" t="n">
        <f aca="false">IFERROR(__xludf.dummyfunction("""COMPUTED_VALUE"""),0.486111111109494)</f>
        <v>0.486111111109494</v>
      </c>
      <c r="I32" s="19" t="n">
        <f aca="false">IFERROR(__xludf.dummyfunction("""COMPUTED_VALUE"""),0.541666666664241)</f>
        <v>0.541666666664241</v>
      </c>
      <c r="J32" s="18" t="n">
        <f aca="false">IFERROR(__xludf.dummyfunction("""COMPUTED_VALUE"""),70.226)</f>
        <v>70.226</v>
      </c>
      <c r="K32" s="18" t="n">
        <f aca="false">IFERROR(__xludf.dummyfunction("""COMPUTED_VALUE"""),0)</f>
        <v>0</v>
      </c>
      <c r="L32" s="18" t="n">
        <f aca="false">IFERROR(__xludf.dummyfunction("""COMPUTED_VALUE"""),0)</f>
        <v>0</v>
      </c>
      <c r="M32" s="18" t="n">
        <f aca="false">IFERROR(__xludf.dummyfunction("""COMPUTED_VALUE"""),0)</f>
        <v>0</v>
      </c>
      <c r="N32" s="18" t="n">
        <f aca="false">IFERROR(__xludf.dummyfunction("""COMPUTED_VALUE"""),70.226)</f>
        <v>70.226</v>
      </c>
      <c r="O32" s="18" t="n">
        <f aca="false">IFERROR(__xludf.dummyfunction("""COMPUTED_VALUE"""),0)</f>
        <v>0</v>
      </c>
      <c r="P32" s="18"/>
      <c r="Q32" s="18"/>
      <c r="R32" s="18" t="n">
        <f aca="false">IFERROR(__xludf.dummyfunction("""COMPUTED_VALUE"""),0)</f>
        <v>0</v>
      </c>
      <c r="S32" s="18" t="str">
        <f aca="false">IFERROR(__xludf.dummyfunction("""COMPUTED_VALUE"""),"8008516713/8008518354")</f>
        <v>8008516713/8008518354</v>
      </c>
      <c r="T32" s="18" t="n">
        <f aca="false">IFERROR(__xludf.dummyfunction("""COMPUTED_VALUE"""),30994834)</f>
        <v>30994834</v>
      </c>
      <c r="U32" s="18" t="str">
        <f aca="false">IFERROR(__xludf.dummyfunction("""COMPUTED_VALUE"""),"13,6*2,5*2,7")</f>
        <v>13,6*2,5*2,7</v>
      </c>
      <c r="V32" s="18" t="str">
        <f aca="false">IFERROR(__xludf.dummyfunction("""COMPUTED_VALUE"""),"Нет")</f>
        <v>Нет</v>
      </c>
    </row>
    <row r="33" customFormat="false" ht="15.75" hidden="false" customHeight="false" outlineLevel="0" collapsed="false">
      <c r="A33" s="20" t="n">
        <f aca="false">IFERROR(__xludf.dummyfunction("""COMPUTED_VALUE"""),46245)</f>
        <v>46245</v>
      </c>
      <c r="B33" s="18" t="n">
        <f aca="false">IFERROR(__xludf.dummyfunction("""COMPUTED_VALUE"""),8008517796)</f>
        <v>8008517796</v>
      </c>
      <c r="C33" s="18" t="str">
        <f aca="false">IFERROR(__xludf.dummyfunction("""COMPUTED_VALUE"""),"В867УХ147/АР306047")</f>
        <v>В867УХ147/АР306047</v>
      </c>
      <c r="D33" s="18" t="str">
        <f aca="false">IFERROR(__xludf.dummyfunction("""COMPUTED_VALUE"""),"Приёмка")</f>
        <v>Приёмка</v>
      </c>
      <c r="E33" s="18" t="str">
        <f aca="false">IFERROR(__xludf.dummyfunction("""COMPUTED_VALUE"""),"Нет")</f>
        <v>Нет</v>
      </c>
      <c r="F33" s="19" t="n">
        <f aca="false">IFERROR(__xludf.dummyfunction("""COMPUTED_VALUE"""),0.5)</f>
        <v>0.5</v>
      </c>
      <c r="G33" s="19" t="n">
        <f aca="false">IFERROR(__xludf.dummyfunction("""COMPUTED_VALUE"""),0.520833333335759)</f>
        <v>0.520833333335759</v>
      </c>
      <c r="H33" s="19" t="n">
        <f aca="false">IFERROR(__xludf.dummyfunction("""COMPUTED_VALUE"""),0.576388888890506)</f>
        <v>0.576388888890506</v>
      </c>
      <c r="I33" s="19" t="n">
        <f aca="false">IFERROR(__xludf.dummyfunction("""COMPUTED_VALUE"""),0.604166666664241)</f>
        <v>0.604166666664241</v>
      </c>
      <c r="J33" s="18" t="n">
        <f aca="false">IFERROR(__xludf.dummyfunction("""COMPUTED_VALUE"""),66.355)</f>
        <v>66.355</v>
      </c>
      <c r="K33" s="18" t="n">
        <f aca="false">IFERROR(__xludf.dummyfunction("""COMPUTED_VALUE"""),0)</f>
        <v>0</v>
      </c>
      <c r="L33" s="18" t="n">
        <f aca="false">IFERROR(__xludf.dummyfunction("""COMPUTED_VALUE"""),66.355)</f>
        <v>66.355</v>
      </c>
      <c r="M33" s="18" t="n">
        <f aca="false">IFERROR(__xludf.dummyfunction("""COMPUTED_VALUE"""),0)</f>
        <v>0</v>
      </c>
      <c r="N33" s="18" t="n">
        <f aca="false">IFERROR(__xludf.dummyfunction("""COMPUTED_VALUE"""),0)</f>
        <v>0</v>
      </c>
      <c r="O33" s="18" t="n">
        <f aca="false">IFERROR(__xludf.dummyfunction("""COMPUTED_VALUE"""),0)</f>
        <v>0</v>
      </c>
      <c r="P33" s="18" t="str">
        <f aca="false">IFERROR(__xludf.dummyfunction("""COMPUTED_VALUE"""),"Без нареканий")</f>
        <v>Без нареканий</v>
      </c>
      <c r="Q33" s="18"/>
      <c r="R33" s="18" t="n">
        <f aca="false">IFERROR(__xludf.dummyfunction("""COMPUTED_VALUE"""),8008517796)</f>
        <v>8008517796</v>
      </c>
      <c r="S33" s="18" t="n">
        <f aca="false">IFERROR(__xludf.dummyfunction("""COMPUTED_VALUE"""),0)</f>
        <v>0</v>
      </c>
      <c r="T33" s="18" t="n">
        <f aca="false">IFERROR(__xludf.dummyfunction("""COMPUTED_VALUE"""),0)</f>
        <v>0</v>
      </c>
      <c r="U33" s="18" t="str">
        <f aca="false">IFERROR(__xludf.dummyfunction("""COMPUTED_VALUE"""),"13,4*2,5*2,7")</f>
        <v>13,4*2,5*2,7</v>
      </c>
      <c r="V33" s="18" t="str">
        <f aca="false">IFERROR(__xludf.dummyfunction("""COMPUTED_VALUE"""),"Нет")</f>
        <v>Нет</v>
      </c>
    </row>
    <row r="34" customFormat="false" ht="15.75" hidden="false" customHeight="false" outlineLevel="0" collapsed="false">
      <c r="A34" s="20" t="n">
        <f aca="false">IFERROR(__xludf.dummyfunction("""COMPUTED_VALUE"""),46245)</f>
        <v>46245</v>
      </c>
      <c r="B34" s="18" t="n">
        <f aca="false">IFERROR(__xludf.dummyfunction("""COMPUTED_VALUE"""),17058956)</f>
        <v>17058956</v>
      </c>
      <c r="C34" s="18" t="str">
        <f aca="false">IFERROR(__xludf.dummyfunction("""COMPUTED_VALUE"""),"АС6427-1  MI590YI")</f>
        <v>АС6427-1  MI590YI</v>
      </c>
      <c r="D34" s="18" t="str">
        <f aca="false">IFERROR(__xludf.dummyfunction("""COMPUTED_VALUE"""),"Приёмка")</f>
        <v>Приёмка</v>
      </c>
      <c r="E34" s="18" t="str">
        <f aca="false">IFERROR(__xludf.dummyfunction("""COMPUTED_VALUE"""),"Нет")</f>
        <v>Нет</v>
      </c>
      <c r="F34" s="19" t="n">
        <f aca="false">IFERROR(__xludf.dummyfunction("""COMPUTED_VALUE"""),0.375)</f>
        <v>0.375</v>
      </c>
      <c r="G34" s="19" t="n">
        <f aca="false">IFERROR(__xludf.dummyfunction("""COMPUTED_VALUE"""),0.392361111109494)</f>
        <v>0.392361111109494</v>
      </c>
      <c r="H34" s="19" t="n">
        <f aca="false">IFERROR(__xludf.dummyfunction("""COMPUTED_VALUE"""),0.576388888890506)</f>
        <v>0.576388888890506</v>
      </c>
      <c r="I34" s="19" t="n">
        <f aca="false">IFERROR(__xludf.dummyfunction("""COMPUTED_VALUE"""),0.625)</f>
        <v>0.625</v>
      </c>
      <c r="J34" s="18" t="n">
        <f aca="false">IFERROR(__xludf.dummyfunction("""COMPUTED_VALUE"""),88.56)</f>
        <v>88.56</v>
      </c>
      <c r="K34" s="18" t="n">
        <f aca="false">IFERROR(__xludf.dummyfunction("""COMPUTED_VALUE"""),0)</f>
        <v>0</v>
      </c>
      <c r="L34" s="18" t="n">
        <f aca="false">IFERROR(__xludf.dummyfunction("""COMPUTED_VALUE"""),88.56)</f>
        <v>88.56</v>
      </c>
      <c r="M34" s="18" t="n">
        <f aca="false">IFERROR(__xludf.dummyfunction("""COMPUTED_VALUE"""),0)</f>
        <v>0</v>
      </c>
      <c r="N34" s="18" t="n">
        <f aca="false">IFERROR(__xludf.dummyfunction("""COMPUTED_VALUE"""),0)</f>
        <v>0</v>
      </c>
      <c r="O34" s="18" t="n">
        <f aca="false">IFERROR(__xludf.dummyfunction("""COMPUTED_VALUE"""),0)</f>
        <v>0</v>
      </c>
      <c r="P34" s="18" t="str">
        <f aca="false">IFERROR(__xludf.dummyfunction("""COMPUTED_VALUE"""),"Обнаружен брак упаковки")</f>
        <v>Обнаружен брак упаковки</v>
      </c>
      <c r="Q34" s="18" t="n">
        <f aca="false">IFERROR(__xludf.dummyfunction("""COMPUTED_VALUE"""),58956)</f>
        <v>58956</v>
      </c>
      <c r="R34" s="18" t="n">
        <f aca="false">IFERROR(__xludf.dummyfunction("""COMPUTED_VALUE"""),17058956)</f>
        <v>17058956</v>
      </c>
      <c r="S34" s="18" t="n">
        <f aca="false">IFERROR(__xludf.dummyfunction("""COMPUTED_VALUE"""),0)</f>
        <v>0</v>
      </c>
      <c r="T34" s="18" t="n">
        <f aca="false">IFERROR(__xludf.dummyfunction("""COMPUTED_VALUE"""),0)</f>
        <v>0</v>
      </c>
      <c r="U34" s="18" t="str">
        <f aca="false">IFERROR(__xludf.dummyfunction("""COMPUTED_VALUE"""),"13,7*2,45*2,6")</f>
        <v>13,7*2,45*2,6</v>
      </c>
      <c r="V34" s="18" t="str">
        <f aca="false">IFERROR(__xludf.dummyfunction("""COMPUTED_VALUE"""),"Нет")</f>
        <v>Нет</v>
      </c>
    </row>
    <row r="35" customFormat="false" ht="15.75" hidden="false" customHeight="false" outlineLevel="0" collapsed="false">
      <c r="A35" s="20" t="n">
        <f aca="false">IFERROR(__xludf.dummyfunction("""COMPUTED_VALUE"""),46246)</f>
        <v>46246</v>
      </c>
      <c r="B35" s="18" t="str">
        <f aca="false">IFERROR(__xludf.dummyfunction("""COMPUTED_VALUE"""),"8008520547/8008520551/8008520554/8008520788/8008520874")</f>
        <v>8008520547/8008520551/8008520554/8008520788/8008520874</v>
      </c>
      <c r="C35" s="18" t="str">
        <f aca="false">IFERROR(__xludf.dummyfunction("""COMPUTED_VALUE"""),"Т375РР198/ЕА939978")</f>
        <v>Т375РР198/ЕА939978</v>
      </c>
      <c r="D35" s="18" t="str">
        <f aca="false">IFERROR(__xludf.dummyfunction("""COMPUTED_VALUE"""),"Отгрузка")</f>
        <v>Отгрузка</v>
      </c>
      <c r="E35" s="18" t="str">
        <f aca="false">IFERROR(__xludf.dummyfunction("""COMPUTED_VALUE"""),"Нет")</f>
        <v>Нет</v>
      </c>
      <c r="F35" s="19" t="n">
        <f aca="false">IFERROR(__xludf.dummyfunction("""COMPUTED_VALUE"""),0.375)</f>
        <v>0.375</v>
      </c>
      <c r="G35" s="19" t="n">
        <f aca="false">IFERROR(__xludf.dummyfunction("""COMPUTED_VALUE"""),0.392361111109494)</f>
        <v>0.392361111109494</v>
      </c>
      <c r="H35" s="19" t="n">
        <f aca="false">IFERROR(__xludf.dummyfunction("""COMPUTED_VALUE"""),0.454861111109494)</f>
        <v>0.454861111109494</v>
      </c>
      <c r="I35" s="19" t="n">
        <f aca="false">IFERROR(__xludf.dummyfunction("""COMPUTED_VALUE"""),0.479166666664241)</f>
        <v>0.479166666664241</v>
      </c>
      <c r="J35" s="18" t="n">
        <f aca="false">IFERROR(__xludf.dummyfunction("""COMPUTED_VALUE"""),66.912)</f>
        <v>66.912</v>
      </c>
      <c r="K35" s="18" t="n">
        <f aca="false">IFERROR(__xludf.dummyfunction("""COMPUTED_VALUE"""),0)</f>
        <v>0</v>
      </c>
      <c r="L35" s="18" t="n">
        <f aca="false">IFERROR(__xludf.dummyfunction("""COMPUTED_VALUE"""),0)</f>
        <v>0</v>
      </c>
      <c r="M35" s="18" t="n">
        <f aca="false">IFERROR(__xludf.dummyfunction("""COMPUTED_VALUE"""),0)</f>
        <v>0</v>
      </c>
      <c r="N35" s="18" t="n">
        <f aca="false">IFERROR(__xludf.dummyfunction("""COMPUTED_VALUE"""),66.912)</f>
        <v>66.912</v>
      </c>
      <c r="O35" s="18" t="n">
        <f aca="false">IFERROR(__xludf.dummyfunction("""COMPUTED_VALUE"""),0)</f>
        <v>0</v>
      </c>
      <c r="P35" s="18"/>
      <c r="Q35" s="18"/>
      <c r="R35" s="18" t="n">
        <f aca="false">IFERROR(__xludf.dummyfunction("""COMPUTED_VALUE"""),0)</f>
        <v>0</v>
      </c>
      <c r="S35" s="18" t="str">
        <f aca="false">IFERROR(__xludf.dummyfunction("""COMPUTED_VALUE"""),"8008520547/8008520551/8008520554/8008520788/8008520874")</f>
        <v>8008520547/8008520551/8008520554/8008520788/8008520874</v>
      </c>
      <c r="T35" s="18" t="n">
        <f aca="false">IFERROR(__xludf.dummyfunction("""COMPUTED_VALUE"""),30994836)</f>
        <v>30994836</v>
      </c>
      <c r="U35" s="18" t="str">
        <f aca="false">IFERROR(__xludf.dummyfunction("""COMPUTED_VALUE"""),"13,6*2,5*2,7")</f>
        <v>13,6*2,5*2,7</v>
      </c>
      <c r="V35" s="18" t="str">
        <f aca="false">IFERROR(__xludf.dummyfunction("""COMPUTED_VALUE"""),"Нет")</f>
        <v>Нет</v>
      </c>
    </row>
    <row r="36" customFormat="false" ht="15.75" hidden="false" customHeight="false" outlineLevel="0" collapsed="false">
      <c r="A36" s="20" t="n">
        <f aca="false">IFERROR(__xludf.dummyfunction("""COMPUTED_VALUE"""),46246)</f>
        <v>46246</v>
      </c>
      <c r="B36" s="18" t="n">
        <f aca="false">IFERROR(__xludf.dummyfunction("""COMPUTED_VALUE"""),17059305)</f>
        <v>17059305</v>
      </c>
      <c r="C36" s="18" t="str">
        <f aca="false">IFERROR(__xludf.dummyfunction("""COMPUTED_VALUE"""),"219CS61/T7116")</f>
        <v>219CS61/T7116</v>
      </c>
      <c r="D36" s="18" t="str">
        <f aca="false">IFERROR(__xludf.dummyfunction("""COMPUTED_VALUE"""),"Приёмка")</f>
        <v>Приёмка</v>
      </c>
      <c r="E36" s="18" t="str">
        <f aca="false">IFERROR(__xludf.dummyfunction("""COMPUTED_VALUE"""),"Нет")</f>
        <v>Нет</v>
      </c>
      <c r="F36" s="19" t="n">
        <f aca="false">IFERROR(__xludf.dummyfunction("""COMPUTED_VALUE"""),0.375)</f>
        <v>0.375</v>
      </c>
      <c r="G36" s="19" t="n">
        <f aca="false">IFERROR(__xludf.dummyfunction("""COMPUTED_VALUE"""),0.388888888890506)</f>
        <v>0.388888888890506</v>
      </c>
      <c r="H36" s="19" t="n">
        <f aca="false">IFERROR(__xludf.dummyfunction("""COMPUTED_VALUE"""),0.506944444445253)</f>
        <v>0.506944444445253</v>
      </c>
      <c r="I36" s="19" t="n">
        <f aca="false">IFERROR(__xludf.dummyfunction("""COMPUTED_VALUE"""),0.541666666664241)</f>
        <v>0.541666666664241</v>
      </c>
      <c r="J36" s="18" t="n">
        <f aca="false">IFERROR(__xludf.dummyfunction("""COMPUTED_VALUE"""),91.91)</f>
        <v>91.91</v>
      </c>
      <c r="K36" s="18" t="n">
        <f aca="false">IFERROR(__xludf.dummyfunction("""COMPUTED_VALUE"""),91.91)</f>
        <v>91.91</v>
      </c>
      <c r="L36" s="18" t="n">
        <f aca="false">IFERROR(__xludf.dummyfunction("""COMPUTED_VALUE"""),0)</f>
        <v>0</v>
      </c>
      <c r="M36" s="18" t="n">
        <f aca="false">IFERROR(__xludf.dummyfunction("""COMPUTED_VALUE"""),0)</f>
        <v>0</v>
      </c>
      <c r="N36" s="18" t="n">
        <f aca="false">IFERROR(__xludf.dummyfunction("""COMPUTED_VALUE"""),0)</f>
        <v>0</v>
      </c>
      <c r="O36" s="18" t="n">
        <f aca="false">IFERROR(__xludf.dummyfunction("""COMPUTED_VALUE"""),0)</f>
        <v>0</v>
      </c>
      <c r="P36" s="18" t="str">
        <f aca="false">IFERROR(__xludf.dummyfunction("""COMPUTED_VALUE"""),"Без нареканий")</f>
        <v>Без нареканий</v>
      </c>
      <c r="Q36" s="18"/>
      <c r="R36" s="18" t="n">
        <f aca="false">IFERROR(__xludf.dummyfunction("""COMPUTED_VALUE"""),17059305)</f>
        <v>17059305</v>
      </c>
      <c r="S36" s="18" t="n">
        <f aca="false">IFERROR(__xludf.dummyfunction("""COMPUTED_VALUE"""),0)</f>
        <v>0</v>
      </c>
      <c r="T36" s="18" t="n">
        <f aca="false">IFERROR(__xludf.dummyfunction("""COMPUTED_VALUE"""),0)</f>
        <v>0</v>
      </c>
      <c r="U36" s="18" t="str">
        <f aca="false">IFERROR(__xludf.dummyfunction("""COMPUTED_VALUE"""),"13,5*2,45*2,68")</f>
        <v>13,5*2,45*2,68</v>
      </c>
      <c r="V36" s="18" t="str">
        <f aca="false">IFERROR(__xludf.dummyfunction("""COMPUTED_VALUE"""),"Нет")</f>
        <v>Нет</v>
      </c>
    </row>
    <row r="37" customFormat="false" ht="15.75" hidden="false" customHeight="false" outlineLevel="0" collapsed="false">
      <c r="A37" s="20" t="n">
        <f aca="false">IFERROR(__xludf.dummyfunction("""COMPUTED_VALUE"""),46246)</f>
        <v>46246</v>
      </c>
      <c r="B37" s="18" t="str">
        <f aca="false">IFERROR(__xludf.dummyfunction("""COMPUTED_VALUE"""),"8008520789/8008520790/8008520932")</f>
        <v>8008520789/8008520790/8008520932</v>
      </c>
      <c r="C37" s="18" t="str">
        <f aca="false">IFERROR(__xludf.dummyfunction("""COMPUTED_VALUE"""),"М738ТА716/ВС041016")</f>
        <v>М738ТА716/ВС041016</v>
      </c>
      <c r="D37" s="18" t="str">
        <f aca="false">IFERROR(__xludf.dummyfunction("""COMPUTED_VALUE"""),"Отгрузка")</f>
        <v>Отгрузка</v>
      </c>
      <c r="E37" s="18" t="str">
        <f aca="false">IFERROR(__xludf.dummyfunction("""COMPUTED_VALUE"""),"Нет")</f>
        <v>Нет</v>
      </c>
      <c r="F37" s="19" t="n">
        <f aca="false">IFERROR(__xludf.dummyfunction("""COMPUTED_VALUE"""),0.375)</f>
        <v>0.375</v>
      </c>
      <c r="G37" s="19" t="n">
        <f aca="false">IFERROR(__xludf.dummyfunction("""COMPUTED_VALUE"""),0.399305555554747)</f>
        <v>0.399305555554747</v>
      </c>
      <c r="H37" s="19" t="n">
        <f aca="false">IFERROR(__xludf.dummyfunction("""COMPUTED_VALUE"""),0.540277777778101)</f>
        <v>0.540277777778101</v>
      </c>
      <c r="I37" s="19" t="n">
        <f aca="false">IFERROR(__xludf.dummyfunction("""COMPUTED_VALUE"""),0.583333333335759)</f>
        <v>0.583333333335759</v>
      </c>
      <c r="J37" s="18" t="n">
        <f aca="false">IFERROR(__xludf.dummyfunction("""COMPUTED_VALUE"""),94.151)</f>
        <v>94.151</v>
      </c>
      <c r="K37" s="18" t="n">
        <f aca="false">IFERROR(__xludf.dummyfunction("""COMPUTED_VALUE"""),0)</f>
        <v>0</v>
      </c>
      <c r="L37" s="18" t="n">
        <f aca="false">IFERROR(__xludf.dummyfunction("""COMPUTED_VALUE"""),0)</f>
        <v>0</v>
      </c>
      <c r="M37" s="18" t="n">
        <f aca="false">IFERROR(__xludf.dummyfunction("""COMPUTED_VALUE"""),94.151)</f>
        <v>94.151</v>
      </c>
      <c r="N37" s="18" t="n">
        <f aca="false">IFERROR(__xludf.dummyfunction("""COMPUTED_VALUE"""),0)</f>
        <v>0</v>
      </c>
      <c r="O37" s="18" t="n">
        <f aca="false">IFERROR(__xludf.dummyfunction("""COMPUTED_VALUE"""),0)</f>
        <v>0</v>
      </c>
      <c r="P37" s="18"/>
      <c r="Q37" s="18"/>
      <c r="R37" s="18" t="n">
        <f aca="false">IFERROR(__xludf.dummyfunction("""COMPUTED_VALUE"""),0)</f>
        <v>0</v>
      </c>
      <c r="S37" s="18" t="str">
        <f aca="false">IFERROR(__xludf.dummyfunction("""COMPUTED_VALUE"""),"8008520789/8008520790/8008520932")</f>
        <v>8008520789/8008520790/8008520932</v>
      </c>
      <c r="T37" s="18" t="n">
        <f aca="false">IFERROR(__xludf.dummyfunction("""COMPUTED_VALUE"""),30994835)</f>
        <v>30994835</v>
      </c>
      <c r="U37" s="18" t="str">
        <f aca="false">IFERROR(__xludf.dummyfunction("""COMPUTED_VALUE"""),"16,40*2,48*2,7")</f>
        <v>16,40*2,48*2,7</v>
      </c>
      <c r="V37" s="18" t="str">
        <f aca="false">IFERROR(__xludf.dummyfunction("""COMPUTED_VALUE"""),"Нет")</f>
        <v>Нет</v>
      </c>
    </row>
    <row r="38" customFormat="false" ht="15.75" hidden="false" customHeight="false" outlineLevel="0" collapsed="false">
      <c r="A38" s="20" t="n">
        <f aca="false">IFERROR(__xludf.dummyfunction("""COMPUTED_VALUE"""),46246)</f>
        <v>46246</v>
      </c>
      <c r="B38" s="18" t="n">
        <f aca="false">IFERROR(__xludf.dummyfunction("""COMPUTED_VALUE"""),8008519004)</f>
        <v>8008519004</v>
      </c>
      <c r="C38" s="18" t="str">
        <f aca="false">IFERROR(__xludf.dummyfunction("""COMPUTED_VALUE"""),"В867УХ147/АР306047")</f>
        <v>В867УХ147/АР306047</v>
      </c>
      <c r="D38" s="18" t="str">
        <f aca="false">IFERROR(__xludf.dummyfunction("""COMPUTED_VALUE"""),"Приёмка")</f>
        <v>Приёмка</v>
      </c>
      <c r="E38" s="18" t="str">
        <f aca="false">IFERROR(__xludf.dummyfunction("""COMPUTED_VALUE"""),"Нет")</f>
        <v>Нет</v>
      </c>
      <c r="F38" s="19" t="n">
        <f aca="false">IFERROR(__xludf.dummyfunction("""COMPUTED_VALUE"""),0.520833333335759)</f>
        <v>0.520833333335759</v>
      </c>
      <c r="G38" s="19" t="n">
        <f aca="false">IFERROR(__xludf.dummyfunction("""COMPUTED_VALUE"""),0.541666666664241)</f>
        <v>0.541666666664241</v>
      </c>
      <c r="H38" s="19" t="n">
        <f aca="false">IFERROR(__xludf.dummyfunction("""COMPUTED_VALUE"""),0.572916666664241)</f>
        <v>0.572916666664241</v>
      </c>
      <c r="I38" s="19" t="n">
        <f aca="false">IFERROR(__xludf.dummyfunction("""COMPUTED_VALUE"""),0.583333333335759)</f>
        <v>0.583333333335759</v>
      </c>
      <c r="J38" s="18" t="n">
        <f aca="false">IFERROR(__xludf.dummyfunction("""COMPUTED_VALUE"""),60.515)</f>
        <v>60.515</v>
      </c>
      <c r="K38" s="18" t="n">
        <f aca="false">IFERROR(__xludf.dummyfunction("""COMPUTED_VALUE"""),60.515)</f>
        <v>60.515</v>
      </c>
      <c r="L38" s="18" t="n">
        <f aca="false">IFERROR(__xludf.dummyfunction("""COMPUTED_VALUE"""),0)</f>
        <v>0</v>
      </c>
      <c r="M38" s="18" t="n">
        <f aca="false">IFERROR(__xludf.dummyfunction("""COMPUTED_VALUE"""),0)</f>
        <v>0</v>
      </c>
      <c r="N38" s="18" t="n">
        <f aca="false">IFERROR(__xludf.dummyfunction("""COMPUTED_VALUE"""),0)</f>
        <v>0</v>
      </c>
      <c r="O38" s="18" t="n">
        <f aca="false">IFERROR(__xludf.dummyfunction("""COMPUTED_VALUE"""),0)</f>
        <v>0</v>
      </c>
      <c r="P38" s="18" t="str">
        <f aca="false">IFERROR(__xludf.dummyfunction("""COMPUTED_VALUE"""),"Обнаружен брак упаковки")</f>
        <v>Обнаружен брак упаковки</v>
      </c>
      <c r="Q38" s="18" t="n">
        <f aca="false">IFERROR(__xludf.dummyfunction("""COMPUTED_VALUE"""),519004)</f>
        <v>519004</v>
      </c>
      <c r="R38" s="18" t="n">
        <f aca="false">IFERROR(__xludf.dummyfunction("""COMPUTED_VALUE"""),8008519004)</f>
        <v>8008519004</v>
      </c>
      <c r="S38" s="18" t="n">
        <f aca="false">IFERROR(__xludf.dummyfunction("""COMPUTED_VALUE"""),0)</f>
        <v>0</v>
      </c>
      <c r="T38" s="18" t="n">
        <f aca="false">IFERROR(__xludf.dummyfunction("""COMPUTED_VALUE"""),0)</f>
        <v>0</v>
      </c>
      <c r="U38" s="18" t="str">
        <f aca="false">IFERROR(__xludf.dummyfunction("""COMPUTED_VALUE"""),"13,6*2,5*2,7")</f>
        <v>13,6*2,5*2,7</v>
      </c>
      <c r="V38" s="18" t="str">
        <f aca="false">IFERROR(__xludf.dummyfunction("""COMPUTED_VALUE"""),"Нет")</f>
        <v>Нет</v>
      </c>
    </row>
    <row r="39" customFormat="false" ht="15.75" hidden="false" customHeight="false" outlineLevel="0" collapsed="false">
      <c r="A39" s="20" t="n">
        <f aca="false">IFERROR(__xludf.dummyfunction("""COMPUTED_VALUE"""),46246)</f>
        <v>46246</v>
      </c>
      <c r="B39" s="18" t="n">
        <f aca="false">IFERROR(__xludf.dummyfunction("""COMPUTED_VALUE"""),8008421443)</f>
        <v>8008421443</v>
      </c>
      <c r="C39" s="18" t="str">
        <f aca="false">IFERROR(__xludf.dummyfunction("""COMPUTED_VALUE"""),"Р548УХ198/ВТ413078")</f>
        <v>Р548УХ198/ВТ413078</v>
      </c>
      <c r="D39" s="18" t="str">
        <f aca="false">IFERROR(__xludf.dummyfunction("""COMPUTED_VALUE"""),"Приёмка")</f>
        <v>Приёмка</v>
      </c>
      <c r="E39" s="18" t="str">
        <f aca="false">IFERROR(__xludf.dummyfunction("""COMPUTED_VALUE"""),"Нет")</f>
        <v>Нет</v>
      </c>
      <c r="F39" s="19" t="n">
        <f aca="false">IFERROR(__xludf.dummyfunction("""COMPUTED_VALUE"""),0.520833333335759)</f>
        <v>0.520833333335759</v>
      </c>
      <c r="G39" s="19" t="n">
        <f aca="false">IFERROR(__xludf.dummyfunction("""COMPUTED_VALUE"""),0.541666666664241)</f>
        <v>0.541666666664241</v>
      </c>
      <c r="H39" s="19" t="n">
        <f aca="false">IFERROR(__xludf.dummyfunction("""COMPUTED_VALUE"""),0.572222222224809)</f>
        <v>0.572222222224809</v>
      </c>
      <c r="I39" s="19" t="n">
        <f aca="false">IFERROR(__xludf.dummyfunction("""COMPUTED_VALUE"""),0.604166666664241)</f>
        <v>0.604166666664241</v>
      </c>
      <c r="J39" s="18" t="n">
        <f aca="false">IFERROR(__xludf.dummyfunction("""COMPUTED_VALUE"""),69.57)</f>
        <v>69.57</v>
      </c>
      <c r="K39" s="18" t="n">
        <f aca="false">IFERROR(__xludf.dummyfunction("""COMPUTED_VALUE"""),69.57)</f>
        <v>69.57</v>
      </c>
      <c r="L39" s="18" t="n">
        <f aca="false">IFERROR(__xludf.dummyfunction("""COMPUTED_VALUE"""),0)</f>
        <v>0</v>
      </c>
      <c r="M39" s="18" t="n">
        <f aca="false">IFERROR(__xludf.dummyfunction("""COMPUTED_VALUE"""),0)</f>
        <v>0</v>
      </c>
      <c r="N39" s="18" t="n">
        <f aca="false">IFERROR(__xludf.dummyfunction("""COMPUTED_VALUE"""),0)</f>
        <v>0</v>
      </c>
      <c r="O39" s="18" t="n">
        <f aca="false">IFERROR(__xludf.dummyfunction("""COMPUTED_VALUE"""),0)</f>
        <v>0</v>
      </c>
      <c r="P39" s="18" t="str">
        <f aca="false">IFERROR(__xludf.dummyfunction("""COMPUTED_VALUE"""),"Без нареканий")</f>
        <v>Без нареканий</v>
      </c>
      <c r="Q39" s="18"/>
      <c r="R39" s="18" t="n">
        <f aca="false">IFERROR(__xludf.dummyfunction("""COMPUTED_VALUE"""),8008421443)</f>
        <v>8008421443</v>
      </c>
      <c r="S39" s="18" t="n">
        <f aca="false">IFERROR(__xludf.dummyfunction("""COMPUTED_VALUE"""),0)</f>
        <v>0</v>
      </c>
      <c r="T39" s="18" t="n">
        <f aca="false">IFERROR(__xludf.dummyfunction("""COMPUTED_VALUE"""),0)</f>
        <v>0</v>
      </c>
      <c r="U39" s="18" t="str">
        <f aca="false">IFERROR(__xludf.dummyfunction("""COMPUTED_VALUE"""),"13,6*2,5*2,7")</f>
        <v>13,6*2,5*2,7</v>
      </c>
      <c r="V39" s="18" t="str">
        <f aca="false">IFERROR(__xludf.dummyfunction("""COMPUTED_VALUE"""),"Нет")</f>
        <v>Нет</v>
      </c>
    </row>
    <row r="40" customFormat="false" ht="15.75" hidden="false" customHeight="false" outlineLevel="0" collapsed="false">
      <c r="A40" s="20" t="n">
        <f aca="false">IFERROR(__xludf.dummyfunction("""COMPUTED_VALUE"""),46247)</f>
        <v>46247</v>
      </c>
      <c r="B40" s="18" t="n">
        <f aca="false">IFERROR(__xludf.dummyfunction("""COMPUTED_VALUE"""),8008521320)</f>
        <v>8008521320</v>
      </c>
      <c r="C40" s="18" t="str">
        <f aca="false">IFERROR(__xludf.dummyfunction("""COMPUTED_VALUE"""),"Н202РМ198")</f>
        <v>Н202РМ198</v>
      </c>
      <c r="D40" s="18" t="str">
        <f aca="false">IFERROR(__xludf.dummyfunction("""COMPUTED_VALUE"""),"Отгрузка")</f>
        <v>Отгрузка</v>
      </c>
      <c r="E40" s="18" t="str">
        <f aca="false">IFERROR(__xludf.dummyfunction("""COMPUTED_VALUE"""),"Нет")</f>
        <v>Нет</v>
      </c>
      <c r="F40" s="19" t="n">
        <f aca="false">IFERROR(__xludf.dummyfunction("""COMPUTED_VALUE"""),0.375)</f>
        <v>0.375</v>
      </c>
      <c r="G40" s="19" t="n">
        <f aca="false">IFERROR(__xludf.dummyfunction("""COMPUTED_VALUE"""),0.388888888890506)</f>
        <v>0.388888888890506</v>
      </c>
      <c r="H40" s="19" t="n">
        <f aca="false">IFERROR(__xludf.dummyfunction("""COMPUTED_VALUE"""),0.392361111109494)</f>
        <v>0.392361111109494</v>
      </c>
      <c r="I40" s="19" t="n">
        <f aca="false">IFERROR(__xludf.dummyfunction("""COMPUTED_VALUE"""),0.416666666664241)</f>
        <v>0.416666666664241</v>
      </c>
      <c r="J40" s="18" t="n">
        <f aca="false">IFERROR(__xludf.dummyfunction("""COMPUTED_VALUE"""),4.901)</f>
        <v>4.901</v>
      </c>
      <c r="K40" s="18" t="n">
        <f aca="false">IFERROR(__xludf.dummyfunction("""COMPUTED_VALUE"""),0)</f>
        <v>0</v>
      </c>
      <c r="L40" s="18" t="n">
        <f aca="false">IFERROR(__xludf.dummyfunction("""COMPUTED_VALUE"""),0)</f>
        <v>0</v>
      </c>
      <c r="M40" s="18" t="n">
        <f aca="false">IFERROR(__xludf.dummyfunction("""COMPUTED_VALUE"""),0)</f>
        <v>0</v>
      </c>
      <c r="N40" s="18" t="n">
        <f aca="false">IFERROR(__xludf.dummyfunction("""COMPUTED_VALUE"""),4.901)</f>
        <v>4.901</v>
      </c>
      <c r="O40" s="18" t="n">
        <f aca="false">IFERROR(__xludf.dummyfunction("""COMPUTED_VALUE"""),0)</f>
        <v>0</v>
      </c>
      <c r="P40" s="18"/>
      <c r="Q40" s="18"/>
      <c r="R40" s="18" t="n">
        <f aca="false">IFERROR(__xludf.dummyfunction("""COMPUTED_VALUE"""),0)</f>
        <v>0</v>
      </c>
      <c r="S40" s="18" t="n">
        <f aca="false">IFERROR(__xludf.dummyfunction("""COMPUTED_VALUE"""),8008521320)</f>
        <v>8008521320</v>
      </c>
      <c r="T40" s="18" t="n">
        <f aca="false">IFERROR(__xludf.dummyfunction("""COMPUTED_VALUE"""),30994831)</f>
        <v>30994831</v>
      </c>
      <c r="U40" s="18" t="str">
        <f aca="false">IFERROR(__xludf.dummyfunction("""COMPUTED_VALUE"""),"7,40*2,4*2,2")</f>
        <v>7,40*2,4*2,2</v>
      </c>
      <c r="V40" s="18" t="str">
        <f aca="false">IFERROR(__xludf.dummyfunction("""COMPUTED_VALUE"""),"Нет")</f>
        <v>Нет</v>
      </c>
    </row>
    <row r="41" customFormat="false" ht="15.75" hidden="false" customHeight="false" outlineLevel="0" collapsed="false">
      <c r="A41" s="20" t="n">
        <f aca="false">IFERROR(__xludf.dummyfunction("""COMPUTED_VALUE"""),46247)</f>
        <v>46247</v>
      </c>
      <c r="B41" s="18" t="n">
        <f aca="false">IFERROR(__xludf.dummyfunction("""COMPUTED_VALUE"""),8008519006)</f>
        <v>8008519006</v>
      </c>
      <c r="C41" s="18" t="str">
        <f aca="false">IFERROR(__xludf.dummyfunction("""COMPUTED_VALUE"""),"Т375РР198/ЕА939978")</f>
        <v>Т375РР198/ЕА939978</v>
      </c>
      <c r="D41" s="18" t="str">
        <f aca="false">IFERROR(__xludf.dummyfunction("""COMPUTED_VALUE"""),"Приёмка")</f>
        <v>Приёмка</v>
      </c>
      <c r="E41" s="18" t="str">
        <f aca="false">IFERROR(__xludf.dummyfunction("""COMPUTED_VALUE"""),"Нет")</f>
        <v>Нет</v>
      </c>
      <c r="F41" s="19" t="n">
        <f aca="false">IFERROR(__xludf.dummyfunction("""COMPUTED_VALUE"""),0.520833333335759)</f>
        <v>0.520833333335759</v>
      </c>
      <c r="G41" s="19" t="n">
        <f aca="false">IFERROR(__xludf.dummyfunction("""COMPUTED_VALUE"""),0.538194444445253)</f>
        <v>0.538194444445253</v>
      </c>
      <c r="H41" s="19" t="n">
        <f aca="false">IFERROR(__xludf.dummyfunction("""COMPUTED_VALUE"""),0.572916666664241)</f>
        <v>0.572916666664241</v>
      </c>
      <c r="I41" s="19" t="n">
        <f aca="false">IFERROR(__xludf.dummyfunction("""COMPUTED_VALUE"""),0.604166666664241)</f>
        <v>0.604166666664241</v>
      </c>
      <c r="J41" s="18" t="n">
        <f aca="false">IFERROR(__xludf.dummyfunction("""COMPUTED_VALUE"""),60.399)</f>
        <v>60.399</v>
      </c>
      <c r="K41" s="18" t="n">
        <f aca="false">IFERROR(__xludf.dummyfunction("""COMPUTED_VALUE"""),0)</f>
        <v>0</v>
      </c>
      <c r="L41" s="18" t="n">
        <f aca="false">IFERROR(__xludf.dummyfunction("""COMPUTED_VALUE"""),60.399)</f>
        <v>60.399</v>
      </c>
      <c r="M41" s="18" t="n">
        <f aca="false">IFERROR(__xludf.dummyfunction("""COMPUTED_VALUE"""),0)</f>
        <v>0</v>
      </c>
      <c r="N41" s="18" t="n">
        <f aca="false">IFERROR(__xludf.dummyfunction("""COMPUTED_VALUE"""),0)</f>
        <v>0</v>
      </c>
      <c r="O41" s="18" t="n">
        <f aca="false">IFERROR(__xludf.dummyfunction("""COMPUTED_VALUE"""),0)</f>
        <v>0</v>
      </c>
      <c r="P41" s="18"/>
      <c r="Q41" s="18"/>
      <c r="R41" s="18" t="n">
        <f aca="false">IFERROR(__xludf.dummyfunction("""COMPUTED_VALUE"""),8008519006)</f>
        <v>8008519006</v>
      </c>
      <c r="S41" s="18" t="n">
        <f aca="false">IFERROR(__xludf.dummyfunction("""COMPUTED_VALUE"""),0)</f>
        <v>0</v>
      </c>
      <c r="T41" s="18" t="n">
        <f aca="false">IFERROR(__xludf.dummyfunction("""COMPUTED_VALUE"""),0)</f>
        <v>0</v>
      </c>
      <c r="U41" s="18" t="str">
        <f aca="false">IFERROR(__xludf.dummyfunction("""COMPUTED_VALUE"""),"13,6*2,45*2,7")</f>
        <v>13,6*2,45*2,7</v>
      </c>
      <c r="V41" s="18" t="str">
        <f aca="false">IFERROR(__xludf.dummyfunction("""COMPUTED_VALUE"""),"Нет")</f>
        <v>Нет</v>
      </c>
    </row>
    <row r="42" customFormat="false" ht="15.75" hidden="false" customHeight="false" outlineLevel="0" collapsed="false">
      <c r="A42" s="20" t="n">
        <f aca="false">IFERROR(__xludf.dummyfunction("""COMPUTED_VALUE"""),46247)</f>
        <v>46247</v>
      </c>
      <c r="B42" s="18" t="str">
        <f aca="false">IFERROR(__xludf.dummyfunction("""COMPUTED_VALUE"""),"8008519007/8008523521")</f>
        <v>8008519007/8008523521</v>
      </c>
      <c r="C42" s="18" t="str">
        <f aca="false">IFERROR(__xludf.dummyfunction("""COMPUTED_VALUE""")," В867УХ147/АР306047")</f>
        <v> В867УХ147/АР306047</v>
      </c>
      <c r="D42" s="18" t="str">
        <f aca="false">IFERROR(__xludf.dummyfunction("""COMPUTED_VALUE"""),"Приёмка")</f>
        <v>Приёмка</v>
      </c>
      <c r="E42" s="18" t="str">
        <f aca="false">IFERROR(__xludf.dummyfunction("""COMPUTED_VALUE"""),"Нет")</f>
        <v>Нет</v>
      </c>
      <c r="F42" s="19" t="n">
        <f aca="false">IFERROR(__xludf.dummyfunction("""COMPUTED_VALUE"""),0.520833333335759)</f>
        <v>0.520833333335759</v>
      </c>
      <c r="G42" s="19" t="n">
        <f aca="false">IFERROR(__xludf.dummyfunction("""COMPUTED_VALUE"""),0.538194444445253)</f>
        <v>0.538194444445253</v>
      </c>
      <c r="H42" s="19" t="n">
        <f aca="false">IFERROR(__xludf.dummyfunction("""COMPUTED_VALUE"""),0.572916666664241)</f>
        <v>0.572916666664241</v>
      </c>
      <c r="I42" s="19" t="n">
        <f aca="false">IFERROR(__xludf.dummyfunction("""COMPUTED_VALUE"""),0.604166666664241)</f>
        <v>0.604166666664241</v>
      </c>
      <c r="J42" s="18" t="n">
        <f aca="false">IFERROR(__xludf.dummyfunction("""COMPUTED_VALUE"""),61.494)</f>
        <v>61.494</v>
      </c>
      <c r="K42" s="18" t="n">
        <f aca="false">IFERROR(__xludf.dummyfunction("""COMPUTED_VALUE"""),61.494)</f>
        <v>61.494</v>
      </c>
      <c r="L42" s="18" t="n">
        <f aca="false">IFERROR(__xludf.dummyfunction("""COMPUTED_VALUE"""),0)</f>
        <v>0</v>
      </c>
      <c r="M42" s="18" t="n">
        <f aca="false">IFERROR(__xludf.dummyfunction("""COMPUTED_VALUE"""),0)</f>
        <v>0</v>
      </c>
      <c r="N42" s="18" t="n">
        <f aca="false">IFERROR(__xludf.dummyfunction("""COMPUTED_VALUE"""),0)</f>
        <v>0</v>
      </c>
      <c r="O42" s="18" t="n">
        <f aca="false">IFERROR(__xludf.dummyfunction("""COMPUTED_VALUE"""),0)</f>
        <v>0</v>
      </c>
      <c r="P42" s="18" t="str">
        <f aca="false">IFERROR(__xludf.dummyfunction("""COMPUTED_VALUE"""),"Без нареканий")</f>
        <v>Без нареканий</v>
      </c>
      <c r="Q42" s="18"/>
      <c r="R42" s="18" t="str">
        <f aca="false">IFERROR(__xludf.dummyfunction("""COMPUTED_VALUE"""),"8008519007/8008523521")</f>
        <v>8008519007/8008523521</v>
      </c>
      <c r="S42" s="18" t="n">
        <f aca="false">IFERROR(__xludf.dummyfunction("""COMPUTED_VALUE"""),0)</f>
        <v>0</v>
      </c>
      <c r="T42" s="18" t="n">
        <f aca="false">IFERROR(__xludf.dummyfunction("""COMPUTED_VALUE"""),0)</f>
        <v>0</v>
      </c>
      <c r="U42" s="18" t="str">
        <f aca="false">IFERROR(__xludf.dummyfunction("""COMPUTED_VALUE"""),"13,6*2,45*2,7")</f>
        <v>13,6*2,45*2,7</v>
      </c>
      <c r="V42" s="18" t="str">
        <f aca="false">IFERROR(__xludf.dummyfunction("""COMPUTED_VALUE"""),"Нет")</f>
        <v>Нет</v>
      </c>
    </row>
    <row r="43" customFormat="false" ht="15.75" hidden="false" customHeight="false" outlineLevel="0" collapsed="false">
      <c r="A43" s="20" t="n">
        <f aca="false">IFERROR(__xludf.dummyfunction("""COMPUTED_VALUE"""),46247)</f>
        <v>46247</v>
      </c>
      <c r="B43" s="18" t="n">
        <f aca="false">IFERROR(__xludf.dummyfunction("""COMPUTED_VALUE"""),17057008)</f>
        <v>17057008</v>
      </c>
      <c r="C43" s="18" t="str">
        <f aca="false">IFERROR(__xludf.dummyfunction("""COMPUTED_VALUE"""),"АВ90091/1TL5671")</f>
        <v>АВ90091/1TL5671</v>
      </c>
      <c r="D43" s="18" t="str">
        <f aca="false">IFERROR(__xludf.dummyfunction("""COMPUTED_VALUE"""),"Приёмка")</f>
        <v>Приёмка</v>
      </c>
      <c r="E43" s="18" t="str">
        <f aca="false">IFERROR(__xludf.dummyfunction("""COMPUTED_VALUE"""),"Нет")</f>
        <v>Нет</v>
      </c>
      <c r="F43" s="19" t="n">
        <f aca="false">IFERROR(__xludf.dummyfunction("""COMPUTED_VALUE"""),0.375)</f>
        <v>0.375</v>
      </c>
      <c r="G43" s="19" t="n">
        <f aca="false">IFERROR(__xludf.dummyfunction("""COMPUTED_VALUE"""),0.395833333335759)</f>
        <v>0.395833333335759</v>
      </c>
      <c r="H43" s="19" t="n">
        <f aca="false">IFERROR(__xludf.dummyfunction("""COMPUTED_VALUE"""),0.576388888890506)</f>
        <v>0.576388888890506</v>
      </c>
      <c r="I43" s="19" t="n">
        <f aca="false">IFERROR(__xludf.dummyfunction("""COMPUTED_VALUE"""),0.604166666664241)</f>
        <v>0.604166666664241</v>
      </c>
      <c r="J43" s="18" t="n">
        <f aca="false">IFERROR(__xludf.dummyfunction("""COMPUTED_VALUE"""),87)</f>
        <v>87</v>
      </c>
      <c r="K43" s="18" t="n">
        <f aca="false">IFERROR(__xludf.dummyfunction("""COMPUTED_VALUE"""),87)</f>
        <v>87</v>
      </c>
      <c r="L43" s="18" t="n">
        <f aca="false">IFERROR(__xludf.dummyfunction("""COMPUTED_VALUE"""),0)</f>
        <v>0</v>
      </c>
      <c r="M43" s="18" t="n">
        <f aca="false">IFERROR(__xludf.dummyfunction("""COMPUTED_VALUE"""),0)</f>
        <v>0</v>
      </c>
      <c r="N43" s="18" t="n">
        <f aca="false">IFERROR(__xludf.dummyfunction("""COMPUTED_VALUE"""),0)</f>
        <v>0</v>
      </c>
      <c r="O43" s="18" t="n">
        <f aca="false">IFERROR(__xludf.dummyfunction("""COMPUTED_VALUE"""),0)</f>
        <v>0</v>
      </c>
      <c r="P43" s="18" t="str">
        <f aca="false">IFERROR(__xludf.dummyfunction("""COMPUTED_VALUE"""),"Без нареканий")</f>
        <v>Без нареканий</v>
      </c>
      <c r="Q43" s="18"/>
      <c r="R43" s="18" t="n">
        <f aca="false">IFERROR(__xludf.dummyfunction("""COMPUTED_VALUE"""),17057008)</f>
        <v>17057008</v>
      </c>
      <c r="S43" s="18" t="n">
        <f aca="false">IFERROR(__xludf.dummyfunction("""COMPUTED_VALUE"""),0)</f>
        <v>0</v>
      </c>
      <c r="T43" s="18" t="n">
        <f aca="false">IFERROR(__xludf.dummyfunction("""COMPUTED_VALUE"""),0)</f>
        <v>0</v>
      </c>
      <c r="U43" s="18" t="str">
        <f aca="false">IFERROR(__xludf.dummyfunction("""COMPUTED_VALUE"""),"13.6*2.45*2.7")</f>
        <v>13.6*2.45*2.7</v>
      </c>
      <c r="V43" s="18" t="str">
        <f aca="false">IFERROR(__xludf.dummyfunction("""COMPUTED_VALUE"""),"Нет")</f>
        <v>Нет</v>
      </c>
    </row>
    <row r="44" customFormat="false" ht="15.75" hidden="false" customHeight="false" outlineLevel="0" collapsed="false">
      <c r="A44" s="20" t="n">
        <f aca="false">IFERROR(__xludf.dummyfunction("""COMPUTED_VALUE"""),46247)</f>
        <v>46247</v>
      </c>
      <c r="B44" s="18" t="str">
        <f aca="false">IFERROR(__xludf.dummyfunction("""COMPUTED_VALUE"""),"8008518227/8008519145/8008520302/8008521255/8008521261/8008521269/8008523526")</f>
        <v>8008518227/8008519145/8008520302/8008521255/8008521261/8008521269/8008523526</v>
      </c>
      <c r="C44" s="18" t="str">
        <f aca="false">IFERROR(__xludf.dummyfunction("""COMPUTED_VALUE"""),"Т131СЕ178")</f>
        <v>Т131СЕ178</v>
      </c>
      <c r="D44" s="18" t="str">
        <f aca="false">IFERROR(__xludf.dummyfunction("""COMPUTED_VALUE"""),"Отгрузка")</f>
        <v>Отгрузка</v>
      </c>
      <c r="E44" s="18" t="str">
        <f aca="false">IFERROR(__xludf.dummyfunction("""COMPUTED_VALUE"""),"Нет")</f>
        <v>Нет</v>
      </c>
      <c r="F44" s="19" t="n">
        <f aca="false">IFERROR(__xludf.dummyfunction("""COMPUTED_VALUE"""),0.625)</f>
        <v>0.625</v>
      </c>
      <c r="G44" s="19" t="n">
        <f aca="false">IFERROR(__xludf.dummyfunction("""COMPUTED_VALUE"""),0.625)</f>
        <v>0.625</v>
      </c>
      <c r="H44" s="19" t="n">
        <f aca="false">IFERROR(__xludf.dummyfunction("""COMPUTED_VALUE"""),0.638888888890506)</f>
        <v>0.638888888890506</v>
      </c>
      <c r="I44" s="19" t="n">
        <f aca="false">IFERROR(__xludf.dummyfunction("""COMPUTED_VALUE"""),0.666666666664241)</f>
        <v>0.666666666664241</v>
      </c>
      <c r="J44" s="18" t="n">
        <f aca="false">IFERROR(__xludf.dummyfunction("""COMPUTED_VALUE"""),14.478)</f>
        <v>14.478</v>
      </c>
      <c r="K44" s="18" t="n">
        <f aca="false">IFERROR(__xludf.dummyfunction("""COMPUTED_VALUE"""),0)</f>
        <v>0</v>
      </c>
      <c r="L44" s="18" t="n">
        <f aca="false">IFERROR(__xludf.dummyfunction("""COMPUTED_VALUE"""),0)</f>
        <v>0</v>
      </c>
      <c r="M44" s="18" t="n">
        <f aca="false">IFERROR(__xludf.dummyfunction("""COMPUTED_VALUE"""),0)</f>
        <v>0</v>
      </c>
      <c r="N44" s="18" t="n">
        <f aca="false">IFERROR(__xludf.dummyfunction("""COMPUTED_VALUE"""),14.478)</f>
        <v>14.478</v>
      </c>
      <c r="O44" s="18" t="n">
        <f aca="false">IFERROR(__xludf.dummyfunction("""COMPUTED_VALUE"""),0)</f>
        <v>0</v>
      </c>
      <c r="P44" s="18"/>
      <c r="Q44" s="18"/>
      <c r="R44" s="18" t="n">
        <f aca="false">IFERROR(__xludf.dummyfunction("""COMPUTED_VALUE"""),0)</f>
        <v>0</v>
      </c>
      <c r="S44" s="18" t="str">
        <f aca="false">IFERROR(__xludf.dummyfunction("""COMPUTED_VALUE"""),"8008518227/8008519145/8008520302/8008521255/8008521261/8008521269/8008523526")</f>
        <v>8008518227/8008519145/8008520302/8008521255/8008521261/8008521269/8008523526</v>
      </c>
      <c r="T44" s="18" t="n">
        <f aca="false">IFERROR(__xludf.dummyfunction("""COMPUTED_VALUE"""),30994861)</f>
        <v>30994861</v>
      </c>
      <c r="U44" s="18" t="str">
        <f aca="false">IFERROR(__xludf.dummyfunction("""COMPUTED_VALUE"""),"7*2,4*2,5")</f>
        <v>7*2,4*2,5</v>
      </c>
      <c r="V44" s="18" t="str">
        <f aca="false">IFERROR(__xludf.dummyfunction("""COMPUTED_VALUE"""),"Нет")</f>
        <v>Нет</v>
      </c>
    </row>
    <row r="45" customFormat="false" ht="15.75" hidden="false" customHeight="false" outlineLevel="0" collapsed="false">
      <c r="A45" s="20" t="n">
        <f aca="false">IFERROR(__xludf.dummyfunction("""COMPUTED_VALUE"""),46248)</f>
        <v>46248</v>
      </c>
      <c r="B45" s="18" t="str">
        <f aca="false">IFERROR(__xludf.dummyfunction("""COMPUTED_VALUE"""),"8008524305/8008524310/8008524383/8008525699/8008526341/8008526595")</f>
        <v>8008524305/8008524310/8008524383/8008525699/8008526341/8008526595</v>
      </c>
      <c r="C45" s="18" t="str">
        <f aca="false">IFERROR(__xludf.dummyfunction("""COMPUTED_VALUE"""),"В171ВУ178/АН754647")</f>
        <v>В171ВУ178/АН754647</v>
      </c>
      <c r="D45" s="18" t="str">
        <f aca="false">IFERROR(__xludf.dummyfunction("""COMPUTED_VALUE"""),"Отгрузка")</f>
        <v>Отгрузка</v>
      </c>
      <c r="E45" s="18" t="str">
        <f aca="false">IFERROR(__xludf.dummyfunction("""COMPUTED_VALUE"""),"Нет")</f>
        <v>Нет</v>
      </c>
      <c r="F45" s="19" t="n">
        <f aca="false">IFERROR(__xludf.dummyfunction("""COMPUTED_VALUE"""),0.395833333335759)</f>
        <v>0.395833333335759</v>
      </c>
      <c r="G45" s="19" t="n">
        <f aca="false">IFERROR(__xludf.dummyfunction("""COMPUTED_VALUE"""),0.401388888887595)</f>
        <v>0.401388888887595</v>
      </c>
      <c r="H45" s="19" t="n">
        <f aca="false">IFERROR(__xludf.dummyfunction("""COMPUTED_VALUE"""),0.440972222218988)</f>
        <v>0.440972222218988</v>
      </c>
      <c r="I45" s="19" t="n">
        <f aca="false">IFERROR(__xludf.dummyfunction("""COMPUTED_VALUE"""),0.479166666664241)</f>
        <v>0.479166666664241</v>
      </c>
      <c r="J45" s="18" t="n">
        <f aca="false">IFERROR(__xludf.dummyfunction("""COMPUTED_VALUE"""),60.36)</f>
        <v>60.36</v>
      </c>
      <c r="K45" s="18" t="n">
        <f aca="false">IFERROR(__xludf.dummyfunction("""COMPUTED_VALUE"""),0)</f>
        <v>0</v>
      </c>
      <c r="L45" s="18" t="n">
        <f aca="false">IFERROR(__xludf.dummyfunction("""COMPUTED_VALUE"""),0)</f>
        <v>0</v>
      </c>
      <c r="M45" s="18" t="n">
        <f aca="false">IFERROR(__xludf.dummyfunction("""COMPUTED_VALUE"""),0)</f>
        <v>0</v>
      </c>
      <c r="N45" s="18" t="n">
        <f aca="false">IFERROR(__xludf.dummyfunction("""COMPUTED_VALUE"""),60.36)</f>
        <v>60.36</v>
      </c>
      <c r="O45" s="18" t="n">
        <f aca="false">IFERROR(__xludf.dummyfunction("""COMPUTED_VALUE"""),0)</f>
        <v>0</v>
      </c>
      <c r="P45" s="18"/>
      <c r="Q45" s="18"/>
      <c r="R45" s="18" t="n">
        <f aca="false">IFERROR(__xludf.dummyfunction("""COMPUTED_VALUE"""),0)</f>
        <v>0</v>
      </c>
      <c r="S45" s="18" t="str">
        <f aca="false">IFERROR(__xludf.dummyfunction("""COMPUTED_VALUE"""),"8008524305/8008524310/8008524383/8008525699/8008526341/8008526595")</f>
        <v>8008524305/8008524310/8008524383/8008525699/8008526341/8008526595</v>
      </c>
      <c r="T45" s="18" t="n">
        <f aca="false">IFERROR(__xludf.dummyfunction("""COMPUTED_VALUE"""),30994814)</f>
        <v>30994814</v>
      </c>
      <c r="U45" s="18" t="str">
        <f aca="false">IFERROR(__xludf.dummyfunction("""COMPUTED_VALUE"""),"13,6*2,5*2,7")</f>
        <v>13,6*2,5*2,7</v>
      </c>
      <c r="V45" s="18" t="str">
        <f aca="false">IFERROR(__xludf.dummyfunction("""COMPUTED_VALUE"""),"Нет")</f>
        <v>Нет</v>
      </c>
    </row>
    <row r="46" customFormat="false" ht="15.75" hidden="false" customHeight="false" outlineLevel="0" collapsed="false">
      <c r="A46" s="20" t="n">
        <f aca="false">IFERROR(__xludf.dummyfunction("""COMPUTED_VALUE"""),46248)</f>
        <v>46248</v>
      </c>
      <c r="B46" s="18" t="n">
        <f aca="false">IFERROR(__xludf.dummyfunction("""COMPUTED_VALUE"""),8008524127)</f>
        <v>8008524127</v>
      </c>
      <c r="C46" s="18" t="str">
        <f aca="false">IFERROR(__xludf.dummyfunction("""COMPUTED_VALUE"""),"В867УХ147/АР306047")</f>
        <v>В867УХ147/АР306047</v>
      </c>
      <c r="D46" s="18" t="str">
        <f aca="false">IFERROR(__xludf.dummyfunction("""COMPUTED_VALUE"""),"Приёмка")</f>
        <v>Приёмка</v>
      </c>
      <c r="E46" s="18" t="str">
        <f aca="false">IFERROR(__xludf.dummyfunction("""COMPUTED_VALUE"""),"Нет")</f>
        <v>Нет</v>
      </c>
      <c r="F46" s="19" t="n">
        <f aca="false">IFERROR(__xludf.dummyfunction("""COMPUTED_VALUE"""),0.548611111109494)</f>
        <v>0.548611111109494</v>
      </c>
      <c r="G46" s="19" t="n">
        <f aca="false">IFERROR(__xludf.dummyfunction("""COMPUTED_VALUE"""),0.559027777781012)</f>
        <v>0.559027777781012</v>
      </c>
      <c r="H46" s="19" t="n">
        <f aca="false">IFERROR(__xludf.dummyfunction("""COMPUTED_VALUE"""),0.583333333335759)</f>
        <v>0.583333333335759</v>
      </c>
      <c r="I46" s="19" t="n">
        <f aca="false">IFERROR(__xludf.dummyfunction("""COMPUTED_VALUE"""),0.597222222218989)</f>
        <v>0.597222222218989</v>
      </c>
      <c r="J46" s="18" t="n">
        <f aca="false">IFERROR(__xludf.dummyfunction("""COMPUTED_VALUE"""),51.976)</f>
        <v>51.976</v>
      </c>
      <c r="K46" s="18" t="n">
        <f aca="false">IFERROR(__xludf.dummyfunction("""COMPUTED_VALUE"""),0)</f>
        <v>0</v>
      </c>
      <c r="L46" s="18" t="n">
        <f aca="false">IFERROR(__xludf.dummyfunction("""COMPUTED_VALUE"""),51.976)</f>
        <v>51.976</v>
      </c>
      <c r="M46" s="18" t="n">
        <f aca="false">IFERROR(__xludf.dummyfunction("""COMPUTED_VALUE"""),0)</f>
        <v>0</v>
      </c>
      <c r="N46" s="18" t="n">
        <f aca="false">IFERROR(__xludf.dummyfunction("""COMPUTED_VALUE"""),0)</f>
        <v>0</v>
      </c>
      <c r="O46" s="18" t="n">
        <f aca="false">IFERROR(__xludf.dummyfunction("""COMPUTED_VALUE"""),0)</f>
        <v>0</v>
      </c>
      <c r="P46" s="18" t="str">
        <f aca="false">IFERROR(__xludf.dummyfunction("""COMPUTED_VALUE"""),"Без нареканий")</f>
        <v>Без нареканий</v>
      </c>
      <c r="Q46" s="18"/>
      <c r="R46" s="18" t="n">
        <f aca="false">IFERROR(__xludf.dummyfunction("""COMPUTED_VALUE"""),8008524127)</f>
        <v>8008524127</v>
      </c>
      <c r="S46" s="18" t="n">
        <f aca="false">IFERROR(__xludf.dummyfunction("""COMPUTED_VALUE"""),0)</f>
        <v>0</v>
      </c>
      <c r="T46" s="18" t="n">
        <f aca="false">IFERROR(__xludf.dummyfunction("""COMPUTED_VALUE"""),0)</f>
        <v>0</v>
      </c>
      <c r="U46" s="18" t="str">
        <f aca="false">IFERROR(__xludf.dummyfunction("""COMPUTED_VALUE"""),"13,6*2,4*2,7")</f>
        <v>13,6*2,4*2,7</v>
      </c>
      <c r="V46" s="18" t="str">
        <f aca="false">IFERROR(__xludf.dummyfunction("""COMPUTED_VALUE"""),"Нет")</f>
        <v>Нет</v>
      </c>
    </row>
    <row r="47" customFormat="false" ht="15.75" hidden="false" customHeight="false" outlineLevel="0" collapsed="false">
      <c r="A47" s="20" t="n">
        <f aca="false">IFERROR(__xludf.dummyfunction("""COMPUTED_VALUE"""),46248)</f>
        <v>46248</v>
      </c>
      <c r="B47" s="18" t="str">
        <f aca="false">IFERROR(__xludf.dummyfunction("""COMPUTED_VALUE"""),"8008519012/8008525798")</f>
        <v>8008519012/8008525798</v>
      </c>
      <c r="C47" s="18" t="str">
        <f aca="false">IFERROR(__xludf.dummyfunction("""COMPUTED_VALUE"""),"К582ВЕ147/ВК298647")</f>
        <v>К582ВЕ147/ВК298647</v>
      </c>
      <c r="D47" s="18" t="str">
        <f aca="false">IFERROR(__xludf.dummyfunction("""COMPUTED_VALUE"""),"Приёмка")</f>
        <v>Приёмка</v>
      </c>
      <c r="E47" s="18" t="str">
        <f aca="false">IFERROR(__xludf.dummyfunction("""COMPUTED_VALUE"""),"Нет")</f>
        <v>Нет</v>
      </c>
      <c r="F47" s="19" t="n">
        <f aca="false">IFERROR(__xludf.dummyfunction("""COMPUTED_VALUE"""),0.5)</f>
        <v>0.5</v>
      </c>
      <c r="G47" s="19" t="n">
        <f aca="false">IFERROR(__xludf.dummyfunction("""COMPUTED_VALUE"""),0.533333333332848)</f>
        <v>0.533333333332848</v>
      </c>
      <c r="H47" s="19" t="n">
        <f aca="false">IFERROR(__xludf.dummyfunction("""COMPUTED_VALUE"""),0.576388888890506)</f>
        <v>0.576388888890506</v>
      </c>
      <c r="I47" s="19" t="n">
        <f aca="false">IFERROR(__xludf.dummyfunction("""COMPUTED_VALUE"""),0.604166666664241)</f>
        <v>0.604166666664241</v>
      </c>
      <c r="J47" s="18" t="n">
        <f aca="false">IFERROR(__xludf.dummyfunction("""COMPUTED_VALUE"""),50.309)</f>
        <v>50.309</v>
      </c>
      <c r="K47" s="18" t="n">
        <f aca="false">IFERROR(__xludf.dummyfunction("""COMPUTED_VALUE"""),0)</f>
        <v>0</v>
      </c>
      <c r="L47" s="18" t="n">
        <f aca="false">IFERROR(__xludf.dummyfunction("""COMPUTED_VALUE"""),50.309)</f>
        <v>50.309</v>
      </c>
      <c r="M47" s="18" t="n">
        <f aca="false">IFERROR(__xludf.dummyfunction("""COMPUTED_VALUE"""),0)</f>
        <v>0</v>
      </c>
      <c r="N47" s="18" t="n">
        <f aca="false">IFERROR(__xludf.dummyfunction("""COMPUTED_VALUE"""),0)</f>
        <v>0</v>
      </c>
      <c r="O47" s="18" t="n">
        <f aca="false">IFERROR(__xludf.dummyfunction("""COMPUTED_VALUE"""),0)</f>
        <v>0</v>
      </c>
      <c r="P47" s="18" t="str">
        <f aca="false">IFERROR(__xludf.dummyfunction("""COMPUTED_VALUE"""),"Без нареканий")</f>
        <v>Без нареканий</v>
      </c>
      <c r="Q47" s="18"/>
      <c r="R47" s="18" t="str">
        <f aca="false">IFERROR(__xludf.dummyfunction("""COMPUTED_VALUE"""),"8008519012/8008525798")</f>
        <v>8008519012/8008525798</v>
      </c>
      <c r="S47" s="18" t="n">
        <f aca="false">IFERROR(__xludf.dummyfunction("""COMPUTED_VALUE"""),0)</f>
        <v>0</v>
      </c>
      <c r="T47" s="18" t="n">
        <f aca="false">IFERROR(__xludf.dummyfunction("""COMPUTED_VALUE"""),0)</f>
        <v>0</v>
      </c>
      <c r="U47" s="18" t="str">
        <f aca="false">IFERROR(__xludf.dummyfunction("""COMPUTED_VALUE"""),"13,5*2,45*2,7")</f>
        <v>13,5*2,45*2,7</v>
      </c>
      <c r="V47" s="18" t="str">
        <f aca="false">IFERROR(__xludf.dummyfunction("""COMPUTED_VALUE"""),"Нет")</f>
        <v>Нет</v>
      </c>
    </row>
    <row r="48" customFormat="false" ht="15.75" hidden="false" customHeight="false" outlineLevel="0" collapsed="false">
      <c r="A48" s="20" t="n">
        <f aca="false">IFERROR(__xludf.dummyfunction("""COMPUTED_VALUE"""),46251)</f>
        <v>46251</v>
      </c>
      <c r="B48" s="18" t="str">
        <f aca="false">IFERROR(__xludf.dummyfunction("""COMPUTED_VALUE"""),"8008520542/8008521306")</f>
        <v>8008520542/8008521306</v>
      </c>
      <c r="C48" s="18" t="str">
        <f aca="false">IFERROR(__xludf.dummyfunction("""COMPUTED_VALUE"""),"Н202РМ198")</f>
        <v>Н202РМ198</v>
      </c>
      <c r="D48" s="18" t="str">
        <f aca="false">IFERROR(__xludf.dummyfunction("""COMPUTED_VALUE"""),"Отгрузка")</f>
        <v>Отгрузка</v>
      </c>
      <c r="E48" s="18" t="str">
        <f aca="false">IFERROR(__xludf.dummyfunction("""COMPUTED_VALUE"""),"Нет")</f>
        <v>Нет</v>
      </c>
      <c r="F48" s="19" t="n">
        <f aca="false">IFERROR(__xludf.dummyfunction("""COMPUTED_VALUE"""),0.395833333335759)</f>
        <v>0.395833333335759</v>
      </c>
      <c r="G48" s="19" t="n">
        <f aca="false">IFERROR(__xludf.dummyfunction("""COMPUTED_VALUE"""),0.399305555554747)</f>
        <v>0.399305555554747</v>
      </c>
      <c r="H48" s="19" t="n">
        <f aca="false">IFERROR(__xludf.dummyfunction("""COMPUTED_VALUE"""),0.409722222218988)</f>
        <v>0.409722222218988</v>
      </c>
      <c r="I48" s="19" t="n">
        <f aca="false">IFERROR(__xludf.dummyfunction("""COMPUTED_VALUE"""),0.4375)</f>
        <v>0.4375</v>
      </c>
      <c r="J48" s="18" t="n">
        <f aca="false">IFERROR(__xludf.dummyfunction("""COMPUTED_VALUE"""),10.546)</f>
        <v>10.546</v>
      </c>
      <c r="K48" s="18" t="n">
        <f aca="false">IFERROR(__xludf.dummyfunction("""COMPUTED_VALUE"""),0)</f>
        <v>0</v>
      </c>
      <c r="L48" s="18" t="n">
        <f aca="false">IFERROR(__xludf.dummyfunction("""COMPUTED_VALUE"""),0)</f>
        <v>0</v>
      </c>
      <c r="M48" s="18" t="n">
        <f aca="false">IFERROR(__xludf.dummyfunction("""COMPUTED_VALUE"""),10.546)</f>
        <v>10.546</v>
      </c>
      <c r="N48" s="18" t="n">
        <f aca="false">IFERROR(__xludf.dummyfunction("""COMPUTED_VALUE"""),0)</f>
        <v>0</v>
      </c>
      <c r="O48" s="18" t="n">
        <f aca="false">IFERROR(__xludf.dummyfunction("""COMPUTED_VALUE"""),0)</f>
        <v>0</v>
      </c>
      <c r="P48" s="18"/>
      <c r="Q48" s="18"/>
      <c r="R48" s="18" t="n">
        <f aca="false">IFERROR(__xludf.dummyfunction("""COMPUTED_VALUE"""),0)</f>
        <v>0</v>
      </c>
      <c r="S48" s="18" t="str">
        <f aca="false">IFERROR(__xludf.dummyfunction("""COMPUTED_VALUE"""),"8008520542/8008521306")</f>
        <v>8008520542/8008521306</v>
      </c>
      <c r="T48" s="18" t="n">
        <f aca="false">IFERROR(__xludf.dummyfunction("""COMPUTED_VALUE"""),30994829)</f>
        <v>30994829</v>
      </c>
      <c r="U48" s="18" t="str">
        <f aca="false">IFERROR(__xludf.dummyfunction("""COMPUTED_VALUE"""),"6,2*2,4*2,2")</f>
        <v>6,2*2,4*2,2</v>
      </c>
      <c r="V48" s="18" t="str">
        <f aca="false">IFERROR(__xludf.dummyfunction("""COMPUTED_VALUE"""),"Нет")</f>
        <v>Нет</v>
      </c>
    </row>
    <row r="49" customFormat="false" ht="15.75" hidden="false" customHeight="false" outlineLevel="0" collapsed="false">
      <c r="A49" s="20" t="n">
        <f aca="false">IFERROR(__xludf.dummyfunction("""COMPUTED_VALUE"""),46251)</f>
        <v>46251</v>
      </c>
      <c r="B49" s="18" t="str">
        <f aca="false">IFERROR(__xludf.dummyfunction("""COMPUTED_VALUE"""),"8008526383/8008526388/8008527817")</f>
        <v>8008526383/8008526388/8008527817</v>
      </c>
      <c r="C49" s="18" t="str">
        <f aca="false">IFERROR(__xludf.dummyfunction("""COMPUTED_VALUE"""),"С156ТМ47")</f>
        <v>С156ТМ47</v>
      </c>
      <c r="D49" s="18" t="str">
        <f aca="false">IFERROR(__xludf.dummyfunction("""COMPUTED_VALUE"""),"Отгрузка")</f>
        <v>Отгрузка</v>
      </c>
      <c r="E49" s="18" t="str">
        <f aca="false">IFERROR(__xludf.dummyfunction("""COMPUTED_VALUE"""),"Нет")</f>
        <v>Нет</v>
      </c>
      <c r="F49" s="19" t="n">
        <f aca="false">IFERROR(__xludf.dummyfunction("""COMPUTED_VALUE"""),0.416666666664241)</f>
        <v>0.416666666664241</v>
      </c>
      <c r="G49" s="19" t="n">
        <f aca="false">IFERROR(__xludf.dummyfunction("""COMPUTED_VALUE"""),0.429166666668607)</f>
        <v>0.429166666668607</v>
      </c>
      <c r="H49" s="19" t="n">
        <f aca="false">IFERROR(__xludf.dummyfunction("""COMPUTED_VALUE"""),0.433333333334303)</f>
        <v>0.433333333334303</v>
      </c>
      <c r="I49" s="19" t="n">
        <f aca="false">IFERROR(__xludf.dummyfunction("""COMPUTED_VALUE"""),0.458333333335759)</f>
        <v>0.458333333335759</v>
      </c>
      <c r="J49" s="18" t="n">
        <f aca="false">IFERROR(__xludf.dummyfunction("""COMPUTED_VALUE"""),3.437)</f>
        <v>3.437</v>
      </c>
      <c r="K49" s="18" t="n">
        <f aca="false">IFERROR(__xludf.dummyfunction("""COMPUTED_VALUE"""),0)</f>
        <v>0</v>
      </c>
      <c r="L49" s="18" t="n">
        <f aca="false">IFERROR(__xludf.dummyfunction("""COMPUTED_VALUE"""),0)</f>
        <v>0</v>
      </c>
      <c r="M49" s="18" t="n">
        <f aca="false">IFERROR(__xludf.dummyfunction("""COMPUTED_VALUE"""),0)</f>
        <v>0</v>
      </c>
      <c r="N49" s="18" t="n">
        <f aca="false">IFERROR(__xludf.dummyfunction("""COMPUTED_VALUE"""),3.437)</f>
        <v>3.437</v>
      </c>
      <c r="O49" s="18" t="n">
        <f aca="false">IFERROR(__xludf.dummyfunction("""COMPUTED_VALUE"""),0)</f>
        <v>0</v>
      </c>
      <c r="P49" s="18"/>
      <c r="Q49" s="18"/>
      <c r="R49" s="18" t="n">
        <f aca="false">IFERROR(__xludf.dummyfunction("""COMPUTED_VALUE"""),0)</f>
        <v>0</v>
      </c>
      <c r="S49" s="18" t="str">
        <f aca="false">IFERROR(__xludf.dummyfunction("""COMPUTED_VALUE"""),"8008526383/8008526388/8008527817")</f>
        <v>8008526383/8008526388/8008527817</v>
      </c>
      <c r="T49" s="18" t="n">
        <f aca="false">IFERROR(__xludf.dummyfunction("""COMPUTED_VALUE"""),30994818)</f>
        <v>30994818</v>
      </c>
      <c r="U49" s="18" t="str">
        <f aca="false">IFERROR(__xludf.dummyfunction("""COMPUTED_VALUE"""),"4,20*2,16*2,1")</f>
        <v>4,20*2,16*2,1</v>
      </c>
      <c r="V49" s="18" t="str">
        <f aca="false">IFERROR(__xludf.dummyfunction("""COMPUTED_VALUE"""),"Нет")</f>
        <v>Нет</v>
      </c>
    </row>
    <row r="50" customFormat="false" ht="15.75" hidden="false" customHeight="false" outlineLevel="0" collapsed="false">
      <c r="A50" s="20" t="n">
        <f aca="false">IFERROR(__xludf.dummyfunction("""COMPUTED_VALUE"""),46251)</f>
        <v>46251</v>
      </c>
      <c r="B50" s="18" t="str">
        <f aca="false">IFERROR(__xludf.dummyfunction("""COMPUTED_VALUE"""),"8008527673/8008527698")</f>
        <v>8008527673/8008527698</v>
      </c>
      <c r="C50" s="18" t="str">
        <f aca="false">IFERROR(__xludf.dummyfunction("""COMPUTED_VALUE"""),"Н349НК26\СВ517126")</f>
        <v>Н349НК26\СВ517126</v>
      </c>
      <c r="D50" s="18" t="str">
        <f aca="false">IFERROR(__xludf.dummyfunction("""COMPUTED_VALUE"""),"Отгрузка")</f>
        <v>Отгрузка</v>
      </c>
      <c r="E50" s="18" t="str">
        <f aca="false">IFERROR(__xludf.dummyfunction("""COMPUTED_VALUE"""),"Нет")</f>
        <v>Нет</v>
      </c>
      <c r="F50" s="19" t="n">
        <f aca="false">IFERROR(__xludf.dummyfunction("""COMPUTED_VALUE"""),0.5625)</f>
        <v>0.5625</v>
      </c>
      <c r="G50" s="19" t="n">
        <f aca="false">IFERROR(__xludf.dummyfunction("""COMPUTED_VALUE"""),0.5625)</f>
        <v>0.5625</v>
      </c>
      <c r="H50" s="19" t="n">
        <f aca="false">IFERROR(__xludf.dummyfunction("""COMPUTED_VALUE"""),0.618055555554747)</f>
        <v>0.618055555554747</v>
      </c>
      <c r="I50" s="19" t="n">
        <f aca="false">IFERROR(__xludf.dummyfunction("""COMPUTED_VALUE"""),0.645833333335759)</f>
        <v>0.645833333335759</v>
      </c>
      <c r="J50" s="18" t="n">
        <f aca="false">IFERROR(__xludf.dummyfunction("""COMPUTED_VALUE"""),71.25)</f>
        <v>71.25</v>
      </c>
      <c r="K50" s="18" t="n">
        <f aca="false">IFERROR(__xludf.dummyfunction("""COMPUTED_VALUE"""),0)</f>
        <v>0</v>
      </c>
      <c r="L50" s="18" t="n">
        <f aca="false">IFERROR(__xludf.dummyfunction("""COMPUTED_VALUE"""),0)</f>
        <v>0</v>
      </c>
      <c r="M50" s="18" t="n">
        <f aca="false">IFERROR(__xludf.dummyfunction("""COMPUTED_VALUE"""),0)</f>
        <v>0</v>
      </c>
      <c r="N50" s="18" t="n">
        <f aca="false">IFERROR(__xludf.dummyfunction("""COMPUTED_VALUE"""),71.25)</f>
        <v>71.25</v>
      </c>
      <c r="O50" s="18" t="n">
        <f aca="false">IFERROR(__xludf.dummyfunction("""COMPUTED_VALUE"""),0)</f>
        <v>0</v>
      </c>
      <c r="P50" s="18"/>
      <c r="Q50" s="18"/>
      <c r="R50" s="18" t="n">
        <f aca="false">IFERROR(__xludf.dummyfunction("""COMPUTED_VALUE"""),0)</f>
        <v>0</v>
      </c>
      <c r="S50" s="18" t="str">
        <f aca="false">IFERROR(__xludf.dummyfunction("""COMPUTED_VALUE"""),"8008527673/8008527698")</f>
        <v>8008527673/8008527698</v>
      </c>
      <c r="T50" s="18" t="n">
        <f aca="false">IFERROR(__xludf.dummyfunction("""COMPUTED_VALUE"""),30994830)</f>
        <v>30994830</v>
      </c>
      <c r="U50" s="18" t="str">
        <f aca="false">IFERROR(__xludf.dummyfunction("""COMPUTED_VALUE"""),"12,6*2,4*2,6")</f>
        <v>12,6*2,4*2,6</v>
      </c>
      <c r="V50" s="18" t="str">
        <f aca="false">IFERROR(__xludf.dummyfunction("""COMPUTED_VALUE"""),"Нет")</f>
        <v>Нет</v>
      </c>
    </row>
    <row r="51" customFormat="false" ht="15.75" hidden="false" customHeight="false" outlineLevel="0" collapsed="false">
      <c r="A51" s="20" t="n">
        <f aca="false">IFERROR(__xludf.dummyfunction("""COMPUTED_VALUE"""),46251)</f>
        <v>46251</v>
      </c>
      <c r="B51" s="18" t="str">
        <f aca="false">IFERROR(__xludf.dummyfunction("""COMPUTED_VALUE"""),"8008524218/8008527777")</f>
        <v>8008524218/8008527777</v>
      </c>
      <c r="C51" s="18" t="str">
        <f aca="false">IFERROR(__xludf.dummyfunction("""COMPUTED_VALUE"""),"В867УХ147/АР306047")</f>
        <v>В867УХ147/АР306047</v>
      </c>
      <c r="D51" s="18" t="str">
        <f aca="false">IFERROR(__xludf.dummyfunction("""COMPUTED_VALUE"""),"Приёмка")</f>
        <v>Приёмка</v>
      </c>
      <c r="E51" s="18" t="str">
        <f aca="false">IFERROR(__xludf.dummyfunction("""COMPUTED_VALUE"""),"Нет")</f>
        <v>Нет</v>
      </c>
      <c r="F51" s="19" t="n">
        <f aca="false">IFERROR(__xludf.dummyfunction("""COMPUTED_VALUE"""),0.5625)</f>
        <v>0.5625</v>
      </c>
      <c r="G51" s="19" t="n">
        <f aca="false">IFERROR(__xludf.dummyfunction("""COMPUTED_VALUE"""),0.652777777781012)</f>
        <v>0.652777777781012</v>
      </c>
      <c r="H51" s="19" t="n">
        <f aca="false">IFERROR(__xludf.dummyfunction("""COMPUTED_VALUE"""),0.680555555554747)</f>
        <v>0.680555555554747</v>
      </c>
      <c r="I51" s="19" t="n">
        <f aca="false">IFERROR(__xludf.dummyfunction("""COMPUTED_VALUE"""),0.6875)</f>
        <v>0.6875</v>
      </c>
      <c r="J51" s="18" t="n">
        <f aca="false">IFERROR(__xludf.dummyfunction("""COMPUTED_VALUE"""),70.051)</f>
        <v>70.051</v>
      </c>
      <c r="K51" s="18" t="n">
        <f aca="false">IFERROR(__xludf.dummyfunction("""COMPUTED_VALUE"""),0)</f>
        <v>0</v>
      </c>
      <c r="L51" s="18" t="n">
        <f aca="false">IFERROR(__xludf.dummyfunction("""COMPUTED_VALUE"""),70.051)</f>
        <v>70.051</v>
      </c>
      <c r="M51" s="18" t="n">
        <f aca="false">IFERROR(__xludf.dummyfunction("""COMPUTED_VALUE"""),0)</f>
        <v>0</v>
      </c>
      <c r="N51" s="18" t="n">
        <f aca="false">IFERROR(__xludf.dummyfunction("""COMPUTED_VALUE"""),0)</f>
        <v>0</v>
      </c>
      <c r="O51" s="18" t="n">
        <f aca="false">IFERROR(__xludf.dummyfunction("""COMPUTED_VALUE"""),0)</f>
        <v>0</v>
      </c>
      <c r="P51" s="18" t="str">
        <f aca="false">IFERROR(__xludf.dummyfunction("""COMPUTED_VALUE"""),"Без нареканий")</f>
        <v>Без нареканий</v>
      </c>
      <c r="Q51" s="18"/>
      <c r="R51" s="18" t="str">
        <f aca="false">IFERROR(__xludf.dummyfunction("""COMPUTED_VALUE"""),"8008524218/8008527777")</f>
        <v>8008524218/8008527777</v>
      </c>
      <c r="S51" s="18" t="n">
        <f aca="false">IFERROR(__xludf.dummyfunction("""COMPUTED_VALUE"""),0)</f>
        <v>0</v>
      </c>
      <c r="T51" s="18" t="n">
        <f aca="false">IFERROR(__xludf.dummyfunction("""COMPUTED_VALUE"""),0)</f>
        <v>0</v>
      </c>
      <c r="U51" s="18" t="str">
        <f aca="false">IFERROR(__xludf.dummyfunction("""COMPUTED_VALUE"""),"13,6*2,45*2,7")</f>
        <v>13,6*2,45*2,7</v>
      </c>
      <c r="V51" s="18" t="str">
        <f aca="false">IFERROR(__xludf.dummyfunction("""COMPUTED_VALUE"""),"Нет")</f>
        <v>Нет</v>
      </c>
    </row>
    <row r="52" customFormat="false" ht="15.75" hidden="false" customHeight="false" outlineLevel="0" collapsed="false">
      <c r="A52" s="20" t="n">
        <f aca="false">IFERROR(__xludf.dummyfunction("""COMPUTED_VALUE"""),46251)</f>
        <v>46251</v>
      </c>
      <c r="B52" s="18" t="str">
        <f aca="false">IFERROR(__xludf.dummyfunction("""COMPUTED_VALUE"""),"8008521887 8008525793 8008525795")</f>
        <v>8008521887 8008525793 8008525795</v>
      </c>
      <c r="C52" s="18" t="str">
        <f aca="false">IFERROR(__xludf.dummyfunction("""COMPUTED_VALUE"""),"М612ТН797/ТВ707477")</f>
        <v>М612ТН797/ТВ707477</v>
      </c>
      <c r="D52" s="18" t="str">
        <f aca="false">IFERROR(__xludf.dummyfunction("""COMPUTED_VALUE"""),"Отгрузка")</f>
        <v>Отгрузка</v>
      </c>
      <c r="E52" s="18" t="str">
        <f aca="false">IFERROR(__xludf.dummyfunction("""COMPUTED_VALUE"""),"Нет")</f>
        <v>Нет</v>
      </c>
      <c r="F52" s="19" t="n">
        <f aca="false">IFERROR(__xludf.dummyfunction("""COMPUTED_VALUE"""),0.645833333335759)</f>
        <v>0.645833333335759</v>
      </c>
      <c r="G52" s="19" t="n">
        <f aca="false">IFERROR(__xludf.dummyfunction("""COMPUTED_VALUE"""),0.652777777781012)</f>
        <v>0.652777777781012</v>
      </c>
      <c r="H52" s="19" t="n">
        <f aca="false">IFERROR(__xludf.dummyfunction("""COMPUTED_VALUE"""),0.701388888890506)</f>
        <v>0.701388888890506</v>
      </c>
      <c r="I52" s="19" t="n">
        <f aca="false">IFERROR(__xludf.dummyfunction("""COMPUTED_VALUE"""),0.729166666664241)</f>
        <v>0.729166666664241</v>
      </c>
      <c r="J52" s="18" t="n">
        <f aca="false">IFERROR(__xludf.dummyfunction("""COMPUTED_VALUE"""),78.613)</f>
        <v>78.613</v>
      </c>
      <c r="K52" s="18" t="n">
        <f aca="false">IFERROR(__xludf.dummyfunction("""COMPUTED_VALUE"""),0)</f>
        <v>0</v>
      </c>
      <c r="L52" s="18" t="n">
        <f aca="false">IFERROR(__xludf.dummyfunction("""COMPUTED_VALUE"""),0)</f>
        <v>0</v>
      </c>
      <c r="M52" s="18" t="n">
        <f aca="false">IFERROR(__xludf.dummyfunction("""COMPUTED_VALUE"""),0)</f>
        <v>0</v>
      </c>
      <c r="N52" s="18" t="n">
        <f aca="false">IFERROR(__xludf.dummyfunction("""COMPUTED_VALUE"""),78.613)</f>
        <v>78.613</v>
      </c>
      <c r="O52" s="18" t="n">
        <f aca="false">IFERROR(__xludf.dummyfunction("""COMPUTED_VALUE"""),0)</f>
        <v>0</v>
      </c>
      <c r="P52" s="18"/>
      <c r="Q52" s="18"/>
      <c r="R52" s="18" t="n">
        <f aca="false">IFERROR(__xludf.dummyfunction("""COMPUTED_VALUE"""),0)</f>
        <v>0</v>
      </c>
      <c r="S52" s="18" t="str">
        <f aca="false">IFERROR(__xludf.dummyfunction("""COMPUTED_VALUE"""),"8008521887/8008525793/8008525795")</f>
        <v>8008521887/8008525793/8008525795</v>
      </c>
      <c r="T52" s="18" t="n">
        <f aca="false">IFERROR(__xludf.dummyfunction("""COMPUTED_VALUE"""),30994811)</f>
        <v>30994811</v>
      </c>
      <c r="U52" s="18" t="str">
        <f aca="false">IFERROR(__xludf.dummyfunction("""COMPUTED_VALUE"""),"16,5*2,45*2,7")</f>
        <v>16,5*2,45*2,7</v>
      </c>
      <c r="V52" s="18" t="str">
        <f aca="false">IFERROR(__xludf.dummyfunction("""COMPUTED_VALUE"""),"Нет")</f>
        <v>Нет</v>
      </c>
    </row>
    <row r="53" customFormat="false" ht="15.75" hidden="false" customHeight="false" outlineLevel="0" collapsed="false">
      <c r="A53" s="20" t="n">
        <f aca="false">IFERROR(__xludf.dummyfunction("""COMPUTED_VALUE"""),46252)</f>
        <v>46252</v>
      </c>
      <c r="B53" s="18" t="str">
        <f aca="false">IFERROR(__xludf.dummyfunction("""COMPUTED_VALUE"""),"8008529845/8008529847")</f>
        <v>8008529845/8008529847</v>
      </c>
      <c r="C53" s="18" t="str">
        <f aca="false">IFERROR(__xludf.dummyfunction("""COMPUTED_VALUE"""),"М952РК161/ СА429661")</f>
        <v>М952РК161/ СА429661</v>
      </c>
      <c r="D53" s="18" t="str">
        <f aca="false">IFERROR(__xludf.dummyfunction("""COMPUTED_VALUE"""),"Отгрузка")</f>
        <v>Отгрузка</v>
      </c>
      <c r="E53" s="18" t="str">
        <f aca="false">IFERROR(__xludf.dummyfunction("""COMPUTED_VALUE"""),"Нет")</f>
        <v>Нет</v>
      </c>
      <c r="F53" s="19" t="n">
        <f aca="false">IFERROR(__xludf.dummyfunction("""COMPUTED_VALUE"""),0.416666666664241)</f>
        <v>0.416666666664241</v>
      </c>
      <c r="G53" s="19" t="n">
        <f aca="false">IFERROR(__xludf.dummyfunction("""COMPUTED_VALUE"""),0.430555555554747)</f>
        <v>0.430555555554747</v>
      </c>
      <c r="H53" s="19" t="n">
        <f aca="false">IFERROR(__xludf.dummyfunction("""COMPUTED_VALUE"""),0.489583333335759)</f>
        <v>0.489583333335759</v>
      </c>
      <c r="I53" s="19" t="n">
        <f aca="false">IFERROR(__xludf.dummyfunction("""COMPUTED_VALUE"""),0.520833333335759)</f>
        <v>0.520833333335759</v>
      </c>
      <c r="J53" s="18" t="n">
        <f aca="false">IFERROR(__xludf.dummyfunction("""COMPUTED_VALUE"""),70.89)</f>
        <v>70.89</v>
      </c>
      <c r="K53" s="18" t="n">
        <f aca="false">IFERROR(__xludf.dummyfunction("""COMPUTED_VALUE"""),0)</f>
        <v>0</v>
      </c>
      <c r="L53" s="18" t="n">
        <f aca="false">IFERROR(__xludf.dummyfunction("""COMPUTED_VALUE"""),0)</f>
        <v>0</v>
      </c>
      <c r="M53" s="18" t="n">
        <f aca="false">IFERROR(__xludf.dummyfunction("""COMPUTED_VALUE"""),70.89)</f>
        <v>70.89</v>
      </c>
      <c r="N53" s="18" t="n">
        <f aca="false">IFERROR(__xludf.dummyfunction("""COMPUTED_VALUE"""),0)</f>
        <v>0</v>
      </c>
      <c r="O53" s="18" t="n">
        <f aca="false">IFERROR(__xludf.dummyfunction("""COMPUTED_VALUE"""),0)</f>
        <v>0</v>
      </c>
      <c r="P53" s="18"/>
      <c r="Q53" s="18"/>
      <c r="R53" s="18" t="n">
        <f aca="false">IFERROR(__xludf.dummyfunction("""COMPUTED_VALUE"""),0)</f>
        <v>0</v>
      </c>
      <c r="S53" s="18" t="str">
        <f aca="false">IFERROR(__xludf.dummyfunction("""COMPUTED_VALUE"""),"8008529845/8008529847")</f>
        <v>8008529845/8008529847</v>
      </c>
      <c r="T53" s="18" t="n">
        <f aca="false">IFERROR(__xludf.dummyfunction("""COMPUTED_VALUE"""),30994826)</f>
        <v>30994826</v>
      </c>
      <c r="U53" s="18" t="str">
        <f aca="false">IFERROR(__xludf.dummyfunction("""COMPUTED_VALUE"""),"15*2,5*2,7")</f>
        <v>15*2,5*2,7</v>
      </c>
      <c r="V53" s="18" t="str">
        <f aca="false">IFERROR(__xludf.dummyfunction("""COMPUTED_VALUE"""),"Нет")</f>
        <v>Нет</v>
      </c>
    </row>
    <row r="54" customFormat="false" ht="15.75" hidden="false" customHeight="false" outlineLevel="0" collapsed="false">
      <c r="A54" s="20" t="n">
        <f aca="false">IFERROR(__xludf.dummyfunction("""COMPUTED_VALUE"""),46252)</f>
        <v>46252</v>
      </c>
      <c r="B54" s="18" t="str">
        <f aca="false">IFERROR(__xludf.dummyfunction("""COMPUTED_VALUE"""),"8008530107/8008530200")</f>
        <v>8008530107/8008530200</v>
      </c>
      <c r="C54" s="18" t="str">
        <f aca="false">IFERROR(__xludf.dummyfunction("""COMPUTED_VALUE"""),"Р552ВО198")</f>
        <v>Р552ВО198</v>
      </c>
      <c r="D54" s="18" t="str">
        <f aca="false">IFERROR(__xludf.dummyfunction("""COMPUTED_VALUE"""),"Отгрузка")</f>
        <v>Отгрузка</v>
      </c>
      <c r="E54" s="18" t="str">
        <f aca="false">IFERROR(__xludf.dummyfunction("""COMPUTED_VALUE"""),"Нет")</f>
        <v>Нет</v>
      </c>
      <c r="F54" s="19" t="n">
        <f aca="false">IFERROR(__xludf.dummyfunction("""COMPUTED_VALUE"""),0.625)</f>
        <v>0.625</v>
      </c>
      <c r="G54" s="19" t="n">
        <f aca="false">IFERROR(__xludf.dummyfunction("""COMPUTED_VALUE"""),0.645833333335759)</f>
        <v>0.645833333335759</v>
      </c>
      <c r="H54" s="19" t="n">
        <f aca="false">IFERROR(__xludf.dummyfunction("""COMPUTED_VALUE"""),0.649305555554747)</f>
        <v>0.649305555554747</v>
      </c>
      <c r="I54" s="19" t="n">
        <f aca="false">IFERROR(__xludf.dummyfunction("""COMPUTED_VALUE"""),0.666666666664241)</f>
        <v>0.666666666664241</v>
      </c>
      <c r="J54" s="18" t="n">
        <f aca="false">IFERROR(__xludf.dummyfunction("""COMPUTED_VALUE"""),4.479)</f>
        <v>4.479</v>
      </c>
      <c r="K54" s="18" t="n">
        <f aca="false">IFERROR(__xludf.dummyfunction("""COMPUTED_VALUE"""),0)</f>
        <v>0</v>
      </c>
      <c r="L54" s="18" t="n">
        <f aca="false">IFERROR(__xludf.dummyfunction("""COMPUTED_VALUE"""),0)</f>
        <v>0</v>
      </c>
      <c r="M54" s="18" t="n">
        <f aca="false">IFERROR(__xludf.dummyfunction("""COMPUTED_VALUE"""),0)</f>
        <v>0</v>
      </c>
      <c r="N54" s="18" t="n">
        <f aca="false">IFERROR(__xludf.dummyfunction("""COMPUTED_VALUE"""),4.479)</f>
        <v>4.479</v>
      </c>
      <c r="O54" s="18" t="n">
        <f aca="false">IFERROR(__xludf.dummyfunction("""COMPUTED_VALUE"""),0)</f>
        <v>0</v>
      </c>
      <c r="P54" s="18"/>
      <c r="Q54" s="18"/>
      <c r="R54" s="18" t="n">
        <f aca="false">IFERROR(__xludf.dummyfunction("""COMPUTED_VALUE"""),0)</f>
        <v>0</v>
      </c>
      <c r="S54" s="18" t="str">
        <f aca="false">IFERROR(__xludf.dummyfunction("""COMPUTED_VALUE"""),"8008530107/8008530200")</f>
        <v>8008530107/8008530200</v>
      </c>
      <c r="T54" s="18" t="n">
        <f aca="false">IFERROR(__xludf.dummyfunction("""COMPUTED_VALUE"""),30994816)</f>
        <v>30994816</v>
      </c>
      <c r="U54" s="18" t="str">
        <f aca="false">IFERROR(__xludf.dummyfunction("""COMPUTED_VALUE"""),"7,4*2,45*2,7")</f>
        <v>7,4*2,45*2,7</v>
      </c>
      <c r="V54" s="18" t="str">
        <f aca="false">IFERROR(__xludf.dummyfunction("""COMPUTED_VALUE"""),"Нет")</f>
        <v>Нет</v>
      </c>
    </row>
    <row r="55" customFormat="false" ht="15.75" hidden="false" customHeight="false" outlineLevel="0" collapsed="false">
      <c r="A55" s="20" t="n">
        <f aca="false">IFERROR(__xludf.dummyfunction("""COMPUTED_VALUE"""),46253)</f>
        <v>46253</v>
      </c>
      <c r="B55" s="18" t="str">
        <f aca="false">IFERROR(__xludf.dummyfunction("""COMPUTED_VALUE"""),"8008532548/8008532588/8008533158/8008533349")</f>
        <v>8008532548/8008532588/8008533158/8008533349</v>
      </c>
      <c r="C55" s="18" t="str">
        <f aca="false">IFERROR(__xludf.dummyfunction("""COMPUTED_VALUE"""),"С156ТМ47")</f>
        <v>С156ТМ47</v>
      </c>
      <c r="D55" s="18" t="str">
        <f aca="false">IFERROR(__xludf.dummyfunction("""COMPUTED_VALUE"""),"Отгрузка")</f>
        <v>Отгрузка</v>
      </c>
      <c r="E55" s="18" t="str">
        <f aca="false">IFERROR(__xludf.dummyfunction("""COMPUTED_VALUE"""),"Нет")</f>
        <v>Нет</v>
      </c>
      <c r="F55" s="19" t="n">
        <f aca="false">IFERROR(__xludf.dummyfunction("""COMPUTED_VALUE"""),0.416666666664241)</f>
        <v>0.416666666664241</v>
      </c>
      <c r="G55" s="19" t="n">
        <f aca="false">IFERROR(__xludf.dummyfunction("""COMPUTED_VALUE"""),0.4375)</f>
        <v>0.4375</v>
      </c>
      <c r="H55" s="19" t="n">
        <f aca="false">IFERROR(__xludf.dummyfunction("""COMPUTED_VALUE"""),0.502777777779556)</f>
        <v>0.502777777779556</v>
      </c>
      <c r="I55" s="19" t="n">
        <f aca="false">IFERROR(__xludf.dummyfunction("""COMPUTED_VALUE"""),0.5625)</f>
        <v>0.5625</v>
      </c>
      <c r="J55" s="18" t="n">
        <f aca="false">IFERROR(__xludf.dummyfunction("""COMPUTED_VALUE"""),40.742)</f>
        <v>40.742</v>
      </c>
      <c r="K55" s="18" t="n">
        <f aca="false">IFERROR(__xludf.dummyfunction("""COMPUTED_VALUE"""),0)</f>
        <v>0</v>
      </c>
      <c r="L55" s="18" t="n">
        <f aca="false">IFERROR(__xludf.dummyfunction("""COMPUTED_VALUE"""),0)</f>
        <v>0</v>
      </c>
      <c r="M55" s="18" t="n">
        <f aca="false">IFERROR(__xludf.dummyfunction("""COMPUTED_VALUE"""),0)</f>
        <v>0</v>
      </c>
      <c r="N55" s="18" t="n">
        <f aca="false">IFERROR(__xludf.dummyfunction("""COMPUTED_VALUE"""),40.742)</f>
        <v>40.742</v>
      </c>
      <c r="O55" s="18" t="n">
        <f aca="false">IFERROR(__xludf.dummyfunction("""COMPUTED_VALUE"""),0)</f>
        <v>0</v>
      </c>
      <c r="P55" s="18"/>
      <c r="Q55" s="18"/>
      <c r="R55" s="18" t="n">
        <f aca="false">IFERROR(__xludf.dummyfunction("""COMPUTED_VALUE"""),0)</f>
        <v>0</v>
      </c>
      <c r="S55" s="18" t="str">
        <f aca="false">IFERROR(__xludf.dummyfunction("""COMPUTED_VALUE"""),"8008532548/8008532588/8008533158/8008533349")</f>
        <v>8008532548/8008532588/8008533158/8008533349</v>
      </c>
      <c r="T55" s="18" t="n">
        <f aca="false">IFERROR(__xludf.dummyfunction("""COMPUTED_VALUE"""),30994813)</f>
        <v>30994813</v>
      </c>
      <c r="U55" s="18" t="str">
        <f aca="false">IFERROR(__xludf.dummyfunction("""COMPUTED_VALUE"""),"13.5*2.5*2.6")</f>
        <v>13.5*2.5*2.6</v>
      </c>
      <c r="V55" s="18" t="str">
        <f aca="false">IFERROR(__xludf.dummyfunction("""COMPUTED_VALUE"""),"Нет")</f>
        <v>Нет</v>
      </c>
    </row>
    <row r="56" customFormat="false" ht="15.75" hidden="false" customHeight="false" outlineLevel="0" collapsed="false">
      <c r="A56" s="20" t="n">
        <f aca="false">IFERROR(__xludf.dummyfunction("""COMPUTED_VALUE"""),46253)</f>
        <v>46253</v>
      </c>
      <c r="B56" s="18" t="str">
        <f aca="false">IFERROR(__xludf.dummyfunction("""COMPUTED_VALUE"""),"8008533375/8008533376")</f>
        <v>8008533375/8008533376</v>
      </c>
      <c r="C56" s="18" t="str">
        <f aca="false">IFERROR(__xludf.dummyfunction("""COMPUTED_VALUE""")," К838КС53/НК135253")</f>
        <v> К838КС53/НК135253</v>
      </c>
      <c r="D56" s="18" t="str">
        <f aca="false">IFERROR(__xludf.dummyfunction("""COMPUTED_VALUE"""),"Отгрузка")</f>
        <v>Отгрузка</v>
      </c>
      <c r="E56" s="18" t="str">
        <f aca="false">IFERROR(__xludf.dummyfunction("""COMPUTED_VALUE"""),"Нет")</f>
        <v>Нет</v>
      </c>
      <c r="F56" s="19" t="n">
        <f aca="false">IFERROR(__xludf.dummyfunction("""COMPUTED_VALUE"""),0.444444444445253)</f>
        <v>0.444444444445253</v>
      </c>
      <c r="G56" s="19" t="n">
        <f aca="false">IFERROR(__xludf.dummyfunction("""COMPUTED_VALUE"""),0.458333333335759)</f>
        <v>0.458333333335759</v>
      </c>
      <c r="H56" s="19" t="n">
        <f aca="false">IFERROR(__xludf.dummyfunction("""COMPUTED_VALUE"""),0.572916666664241)</f>
        <v>0.572916666664241</v>
      </c>
      <c r="I56" s="19" t="n">
        <f aca="false">IFERROR(__xludf.dummyfunction("""COMPUTED_VALUE"""),0.604166666664241)</f>
        <v>0.604166666664241</v>
      </c>
      <c r="J56" s="18" t="n">
        <f aca="false">IFERROR(__xludf.dummyfunction("""COMPUTED_VALUE"""),92.704)</f>
        <v>92.704</v>
      </c>
      <c r="K56" s="18" t="n">
        <f aca="false">IFERROR(__xludf.dummyfunction("""COMPUTED_VALUE"""),0)</f>
        <v>0</v>
      </c>
      <c r="L56" s="18" t="n">
        <f aca="false">IFERROR(__xludf.dummyfunction("""COMPUTED_VALUE"""),0)</f>
        <v>0</v>
      </c>
      <c r="M56" s="18" t="n">
        <f aca="false">IFERROR(__xludf.dummyfunction("""COMPUTED_VALUE"""),0)</f>
        <v>0</v>
      </c>
      <c r="N56" s="18" t="n">
        <f aca="false">IFERROR(__xludf.dummyfunction("""COMPUTED_VALUE"""),92.704)</f>
        <v>92.704</v>
      </c>
      <c r="O56" s="18" t="n">
        <f aca="false">IFERROR(__xludf.dummyfunction("""COMPUTED_VALUE"""),0)</f>
        <v>0</v>
      </c>
      <c r="P56" s="18"/>
      <c r="Q56" s="18"/>
      <c r="R56" s="18" t="n">
        <f aca="false">IFERROR(__xludf.dummyfunction("""COMPUTED_VALUE"""),0)</f>
        <v>0</v>
      </c>
      <c r="S56" s="18" t="str">
        <f aca="false">IFERROR(__xludf.dummyfunction("""COMPUTED_VALUE"""),"8008533375/8008533376")</f>
        <v>8008533375/8008533376</v>
      </c>
      <c r="T56" s="18" t="n">
        <f aca="false">IFERROR(__xludf.dummyfunction("""COMPUTED_VALUE"""),30994817)</f>
        <v>30994817</v>
      </c>
      <c r="U56" s="18" t="str">
        <f aca="false">IFERROR(__xludf.dummyfunction("""COMPUTED_VALUE"""),"16,3*2,5*2,7")</f>
        <v>16,3*2,5*2,7</v>
      </c>
      <c r="V56" s="18" t="str">
        <f aca="false">IFERROR(__xludf.dummyfunction("""COMPUTED_VALUE"""),"Нет")</f>
        <v>Нет</v>
      </c>
    </row>
    <row r="57" customFormat="false" ht="15.75" hidden="false" customHeight="false" outlineLevel="0" collapsed="false">
      <c r="A57" s="20" t="n">
        <f aca="false">IFERROR(__xludf.dummyfunction("""COMPUTED_VALUE"""),46253)</f>
        <v>46253</v>
      </c>
      <c r="B57" s="18" t="str">
        <f aca="false">IFERROR(__xludf.dummyfunction("""COMPUTED_VALUE"""),"8008532643/8008532887")</f>
        <v>8008532643/8008532887</v>
      </c>
      <c r="C57" s="18" t="str">
        <f aca="false">IFERROR(__xludf.dummyfunction("""COMPUTED_VALUE"""),"С156ТМ47")</f>
        <v>С156ТМ47</v>
      </c>
      <c r="D57" s="18" t="str">
        <f aca="false">IFERROR(__xludf.dummyfunction("""COMPUTED_VALUE"""),"Отгрузка")</f>
        <v>Отгрузка</v>
      </c>
      <c r="E57" s="18" t="str">
        <f aca="false">IFERROR(__xludf.dummyfunction("""COMPUTED_VALUE"""),"Нет")</f>
        <v>Нет</v>
      </c>
      <c r="F57" s="19" t="n">
        <f aca="false">IFERROR(__xludf.dummyfunction("""COMPUTED_VALUE"""),0.611111111109494)</f>
        <v>0.611111111109494</v>
      </c>
      <c r="G57" s="19" t="n">
        <f aca="false">IFERROR(__xludf.dummyfunction("""COMPUTED_VALUE"""),0.625)</f>
        <v>0.625</v>
      </c>
      <c r="H57" s="19" t="n">
        <f aca="false">IFERROR(__xludf.dummyfunction("""COMPUTED_VALUE"""),0.628472222218989)</f>
        <v>0.628472222218989</v>
      </c>
      <c r="I57" s="19" t="n">
        <f aca="false">IFERROR(__xludf.dummyfunction("""COMPUTED_VALUE"""),0.645833333335759)</f>
        <v>0.645833333335759</v>
      </c>
      <c r="J57" s="18" t="n">
        <f aca="false">IFERROR(__xludf.dummyfunction("""COMPUTED_VALUE"""),2.033)</f>
        <v>2.033</v>
      </c>
      <c r="K57" s="18" t="n">
        <f aca="false">IFERROR(__xludf.dummyfunction("""COMPUTED_VALUE"""),0)</f>
        <v>0</v>
      </c>
      <c r="L57" s="18" t="n">
        <f aca="false">IFERROR(__xludf.dummyfunction("""COMPUTED_VALUE"""),0)</f>
        <v>0</v>
      </c>
      <c r="M57" s="18" t="n">
        <f aca="false">IFERROR(__xludf.dummyfunction("""COMPUTED_VALUE"""),0)</f>
        <v>0</v>
      </c>
      <c r="N57" s="18" t="n">
        <f aca="false">IFERROR(__xludf.dummyfunction("""COMPUTED_VALUE"""),2.033)</f>
        <v>2.033</v>
      </c>
      <c r="O57" s="18" t="n">
        <f aca="false">IFERROR(__xludf.dummyfunction("""COMPUTED_VALUE"""),0)</f>
        <v>0</v>
      </c>
      <c r="P57" s="18"/>
      <c r="Q57" s="18"/>
      <c r="R57" s="18" t="n">
        <f aca="false">IFERROR(__xludf.dummyfunction("""COMPUTED_VALUE"""),0)</f>
        <v>0</v>
      </c>
      <c r="S57" s="18" t="str">
        <f aca="false">IFERROR(__xludf.dummyfunction("""COMPUTED_VALUE"""),"8008532643/8008532887")</f>
        <v>8008532643/8008532887</v>
      </c>
      <c r="T57" s="18" t="n">
        <f aca="false">IFERROR(__xludf.dummyfunction("""COMPUTED_VALUE"""),30994911)</f>
        <v>30994911</v>
      </c>
      <c r="U57" s="18" t="str">
        <f aca="false">IFERROR(__xludf.dummyfunction("""COMPUTED_VALUE"""),"4.2*2.1*2.1")</f>
        <v>4.2*2.1*2.1</v>
      </c>
      <c r="V57" s="18" t="str">
        <f aca="false">IFERROR(__xludf.dummyfunction("""COMPUTED_VALUE"""),"Нет")</f>
        <v>Нет</v>
      </c>
    </row>
    <row r="58" customFormat="false" ht="15.75" hidden="false" customHeight="false" outlineLevel="0" collapsed="false">
      <c r="A58" s="20" t="n">
        <f aca="false">IFERROR(__xludf.dummyfunction("""COMPUTED_VALUE"""),46253)</f>
        <v>46253</v>
      </c>
      <c r="B58" s="18" t="n">
        <f aca="false">IFERROR(__xludf.dummyfunction("""COMPUTED_VALUE"""),8008533211)</f>
        <v>8008533211</v>
      </c>
      <c r="C58" s="18" t="str">
        <f aca="false">IFERROR(__xludf.dummyfunction("""COMPUTED_VALUE"""),"В867УХ147/АР306047")</f>
        <v>В867УХ147/АР306047</v>
      </c>
      <c r="D58" s="18" t="str">
        <f aca="false">IFERROR(__xludf.dummyfunction("""COMPUTED_VALUE"""),"Приёмка")</f>
        <v>Приёмка</v>
      </c>
      <c r="E58" s="18" t="str">
        <f aca="false">IFERROR(__xludf.dummyfunction("""COMPUTED_VALUE"""),"Нет")</f>
        <v>Нет</v>
      </c>
      <c r="F58" s="19" t="n">
        <f aca="false">IFERROR(__xludf.dummyfunction("""COMPUTED_VALUE"""),0.583333333335759)</f>
        <v>0.583333333335759</v>
      </c>
      <c r="G58" s="19" t="n">
        <f aca="false">IFERROR(__xludf.dummyfunction("""COMPUTED_VALUE"""),0.600694444445253)</f>
        <v>0.600694444445253</v>
      </c>
      <c r="H58" s="19" t="n">
        <f aca="false">IFERROR(__xludf.dummyfunction("""COMPUTED_VALUE"""),0.625)</f>
        <v>0.625</v>
      </c>
      <c r="I58" s="19" t="n">
        <f aca="false">IFERROR(__xludf.dummyfunction("""COMPUTED_VALUE"""),0.645833333335759)</f>
        <v>0.645833333335759</v>
      </c>
      <c r="J58" s="18" t="n">
        <f aca="false">IFERROR(__xludf.dummyfunction("""COMPUTED_VALUE"""),61.639)</f>
        <v>61.639</v>
      </c>
      <c r="K58" s="18" t="n">
        <f aca="false">IFERROR(__xludf.dummyfunction("""COMPUTED_VALUE"""),61.639)</f>
        <v>61.639</v>
      </c>
      <c r="L58" s="18" t="n">
        <f aca="false">IFERROR(__xludf.dummyfunction("""COMPUTED_VALUE"""),0)</f>
        <v>0</v>
      </c>
      <c r="M58" s="18" t="n">
        <f aca="false">IFERROR(__xludf.dummyfunction("""COMPUTED_VALUE"""),0)</f>
        <v>0</v>
      </c>
      <c r="N58" s="18" t="n">
        <f aca="false">IFERROR(__xludf.dummyfunction("""COMPUTED_VALUE"""),0)</f>
        <v>0</v>
      </c>
      <c r="O58" s="18" t="n">
        <f aca="false">IFERROR(__xludf.dummyfunction("""COMPUTED_VALUE"""),0)</f>
        <v>0</v>
      </c>
      <c r="P58" s="18" t="str">
        <f aca="false">IFERROR(__xludf.dummyfunction("""COMPUTED_VALUE"""),"Без нареканий")</f>
        <v>Без нареканий</v>
      </c>
      <c r="Q58" s="18"/>
      <c r="R58" s="18" t="n">
        <f aca="false">IFERROR(__xludf.dummyfunction("""COMPUTED_VALUE"""),8008533211)</f>
        <v>8008533211</v>
      </c>
      <c r="S58" s="18" t="n">
        <f aca="false">IFERROR(__xludf.dummyfunction("""COMPUTED_VALUE"""),0)</f>
        <v>0</v>
      </c>
      <c r="T58" s="18" t="n">
        <f aca="false">IFERROR(__xludf.dummyfunction("""COMPUTED_VALUE"""),0)</f>
        <v>0</v>
      </c>
      <c r="U58" s="18" t="str">
        <f aca="false">IFERROR(__xludf.dummyfunction("""COMPUTED_VALUE"""),"13,6*2,5*2,7")</f>
        <v>13,6*2,5*2,7</v>
      </c>
      <c r="V58" s="18" t="str">
        <f aca="false">IFERROR(__xludf.dummyfunction("""COMPUTED_VALUE"""),"Нет")</f>
        <v>Нет</v>
      </c>
    </row>
    <row r="59" customFormat="false" ht="15.75" hidden="false" customHeight="false" outlineLevel="0" collapsed="false">
      <c r="A59" s="20" t="n">
        <f aca="false">IFERROR(__xludf.dummyfunction("""COMPUTED_VALUE"""),46253)</f>
        <v>46253</v>
      </c>
      <c r="B59" s="18" t="str">
        <f aca="false">IFERROR(__xludf.dummyfunction("""COMPUTED_VALUE"""),"8008533089/8008533160 ")</f>
        <v>8008533089/8008533160 </v>
      </c>
      <c r="C59" s="18" t="str">
        <f aca="false">IFERROR(__xludf.dummyfunction("""COMPUTED_VALUE"""),"К582ВЕ147/ВК298647")</f>
        <v>К582ВЕ147/ВК298647</v>
      </c>
      <c r="D59" s="18" t="str">
        <f aca="false">IFERROR(__xludf.dummyfunction("""COMPUTED_VALUE"""),"Отгрузка")</f>
        <v>Отгрузка</v>
      </c>
      <c r="E59" s="18" t="str">
        <f aca="false">IFERROR(__xludf.dummyfunction("""COMPUTED_VALUE"""),"Нет")</f>
        <v>Нет</v>
      </c>
      <c r="F59" s="19" t="n">
        <f aca="false">IFERROR(__xludf.dummyfunction("""COMPUTED_VALUE"""),0.375)</f>
        <v>0.375</v>
      </c>
      <c r="G59" s="19" t="n">
        <f aca="false">IFERROR(__xludf.dummyfunction("""COMPUTED_VALUE"""),0.383333333331393)</f>
        <v>0.383333333331393</v>
      </c>
      <c r="H59" s="19" t="n">
        <f aca="false">IFERROR(__xludf.dummyfunction("""COMPUTED_VALUE"""),0.411805555559113)</f>
        <v>0.411805555559113</v>
      </c>
      <c r="I59" s="19" t="n">
        <f aca="false">IFERROR(__xludf.dummyfunction("""COMPUTED_VALUE"""),0.4375)</f>
        <v>0.4375</v>
      </c>
      <c r="J59" s="18" t="n">
        <f aca="false">IFERROR(__xludf.dummyfunction("""COMPUTED_VALUE"""),45.72)</f>
        <v>45.72</v>
      </c>
      <c r="K59" s="18" t="n">
        <f aca="false">IFERROR(__xludf.dummyfunction("""COMPUTED_VALUE"""),0)</f>
        <v>0</v>
      </c>
      <c r="L59" s="18" t="n">
        <f aca="false">IFERROR(__xludf.dummyfunction("""COMPUTED_VALUE"""),0)</f>
        <v>0</v>
      </c>
      <c r="M59" s="18" t="n">
        <f aca="false">IFERROR(__xludf.dummyfunction("""COMPUTED_VALUE"""),0)</f>
        <v>0</v>
      </c>
      <c r="N59" s="18" t="n">
        <f aca="false">IFERROR(__xludf.dummyfunction("""COMPUTED_VALUE"""),45.72)</f>
        <v>45.72</v>
      </c>
      <c r="O59" s="18" t="n">
        <f aca="false">IFERROR(__xludf.dummyfunction("""COMPUTED_VALUE"""),0)</f>
        <v>0</v>
      </c>
      <c r="P59" s="18"/>
      <c r="Q59" s="18"/>
      <c r="R59" s="18" t="n">
        <f aca="false">IFERROR(__xludf.dummyfunction("""COMPUTED_VALUE"""),0)</f>
        <v>0</v>
      </c>
      <c r="S59" s="18" t="str">
        <f aca="false">IFERROR(__xludf.dummyfunction("""COMPUTED_VALUE"""),"8008533089/8008533160 ")</f>
        <v>8008533089/8008533160 </v>
      </c>
      <c r="T59" s="18" t="n">
        <f aca="false">IFERROR(__xludf.dummyfunction("""COMPUTED_VALUE"""),30994812)</f>
        <v>30994812</v>
      </c>
      <c r="U59" s="18" t="str">
        <f aca="false">IFERROR(__xludf.dummyfunction("""COMPUTED_VALUE"""),"12,6*2,4*2,6")</f>
        <v>12,6*2,4*2,6</v>
      </c>
      <c r="V59" s="18" t="str">
        <f aca="false">IFERROR(__xludf.dummyfunction("""COMPUTED_VALUE"""),"Нет")</f>
        <v>Нет</v>
      </c>
    </row>
    <row r="60" customFormat="false" ht="15.75" hidden="false" customHeight="false" outlineLevel="0" collapsed="false">
      <c r="A60" s="20" t="n">
        <f aca="false">IFERROR(__xludf.dummyfunction("""COMPUTED_VALUE"""),46253)</f>
        <v>46253</v>
      </c>
      <c r="B60" s="18" t="str">
        <f aca="false">IFERROR(__xludf.dummyfunction("""COMPUTED_VALUE"""),"8008529862/8008530578")</f>
        <v>8008529862/8008530578</v>
      </c>
      <c r="C60" s="18" t="str">
        <f aca="false">IFERROR(__xludf.dummyfunction("""COMPUTED_VALUE"""),"AT34157/A5788E7")</f>
        <v>AT34157/A5788E7</v>
      </c>
      <c r="D60" s="18" t="str">
        <f aca="false">IFERROR(__xludf.dummyfunction("""COMPUTED_VALUE"""),"Отгрузка")</f>
        <v>Отгрузка</v>
      </c>
      <c r="E60" s="18" t="str">
        <f aca="false">IFERROR(__xludf.dummyfunction("""COMPUTED_VALUE"""),"Нет")</f>
        <v>Нет</v>
      </c>
      <c r="F60" s="19" t="n">
        <f aca="false">IFERROR(__xludf.dummyfunction("""COMPUTED_VALUE"""),0.444444444445253)</f>
        <v>0.444444444445253</v>
      </c>
      <c r="G60" s="19" t="n">
        <f aca="false">IFERROR(__xludf.dummyfunction("""COMPUTED_VALUE"""),0.465277777781012)</f>
        <v>0.465277777781012</v>
      </c>
      <c r="H60" s="19" t="n">
        <f aca="false">IFERROR(__xludf.dummyfunction("""COMPUTED_VALUE"""),0.579861111109494)</f>
        <v>0.579861111109494</v>
      </c>
      <c r="I60" s="19" t="n">
        <f aca="false">IFERROR(__xludf.dummyfunction("""COMPUTED_VALUE"""),0.666666666664241)</f>
        <v>0.666666666664241</v>
      </c>
      <c r="J60" s="18" t="n">
        <f aca="false">IFERROR(__xludf.dummyfunction("""COMPUTED_VALUE"""),69.085)</f>
        <v>69.085</v>
      </c>
      <c r="K60" s="18" t="n">
        <f aca="false">IFERROR(__xludf.dummyfunction("""COMPUTED_VALUE"""),0)</f>
        <v>0</v>
      </c>
      <c r="L60" s="18" t="n">
        <f aca="false">IFERROR(__xludf.dummyfunction("""COMPUTED_VALUE"""),0)</f>
        <v>0</v>
      </c>
      <c r="M60" s="18" t="n">
        <f aca="false">IFERROR(__xludf.dummyfunction("""COMPUTED_VALUE"""),69.085)</f>
        <v>69.085</v>
      </c>
      <c r="N60" s="18" t="n">
        <f aca="false">IFERROR(__xludf.dummyfunction("""COMPUTED_VALUE"""),0)</f>
        <v>0</v>
      </c>
      <c r="O60" s="18" t="n">
        <f aca="false">IFERROR(__xludf.dummyfunction("""COMPUTED_VALUE"""),0)</f>
        <v>0</v>
      </c>
      <c r="P60" s="18"/>
      <c r="Q60" s="18"/>
      <c r="R60" s="18" t="n">
        <f aca="false">IFERROR(__xludf.dummyfunction("""COMPUTED_VALUE"""),0)</f>
        <v>0</v>
      </c>
      <c r="S60" s="18" t="str">
        <f aca="false">IFERROR(__xludf.dummyfunction("""COMPUTED_VALUE"""),"8008529862/8008530578")</f>
        <v>8008529862/8008530578</v>
      </c>
      <c r="T60" s="18" t="str">
        <f aca="false">IFERROR(__xludf.dummyfunction("""COMPUTED_VALUE"""),"30994920/30994919")</f>
        <v>30994920/30994919</v>
      </c>
      <c r="U60" s="18" t="str">
        <f aca="false">IFERROR(__xludf.dummyfunction("""COMPUTED_VALUE"""),"8.5+7.5*2.5*2.9")</f>
        <v>8.5+7.5*2.5*2.9</v>
      </c>
      <c r="V60" s="18" t="str">
        <f aca="false">IFERROR(__xludf.dummyfunction("""COMPUTED_VALUE"""),"Нет")</f>
        <v>Нет</v>
      </c>
    </row>
    <row r="61" customFormat="false" ht="15.75" hidden="false" customHeight="false" outlineLevel="0" collapsed="false">
      <c r="A61" s="20" t="n">
        <f aca="false">IFERROR(__xludf.dummyfunction("""COMPUTED_VALUE"""),46254)</f>
        <v>46254</v>
      </c>
      <c r="B61" s="18" t="str">
        <f aca="false">IFERROR(__xludf.dummyfunction("""COMPUTED_VALUE"""),"8008535368/8008535468/8008535487/8008535525/8008535994")</f>
        <v>8008535368/8008535468/8008535487/8008535525/8008535994</v>
      </c>
      <c r="C61" s="18" t="str">
        <f aca="false">IFERROR(__xludf.dummyfunction("""COMPUTED_VALUE"""),"С156ТМ47")</f>
        <v>С156ТМ47</v>
      </c>
      <c r="D61" s="18" t="str">
        <f aca="false">IFERROR(__xludf.dummyfunction("""COMPUTED_VALUE"""),"Отгрузка")</f>
        <v>Отгрузка</v>
      </c>
      <c r="E61" s="18" t="str">
        <f aca="false">IFERROR(__xludf.dummyfunction("""COMPUTED_VALUE"""),"Нет")</f>
        <v>Нет</v>
      </c>
      <c r="F61" s="19" t="n">
        <f aca="false">IFERROR(__xludf.dummyfunction("""COMPUTED_VALUE"""),0.388888888890506)</f>
        <v>0.388888888890506</v>
      </c>
      <c r="G61" s="19" t="n">
        <f aca="false">IFERROR(__xludf.dummyfunction("""COMPUTED_VALUE"""),0.40625)</f>
        <v>0.40625</v>
      </c>
      <c r="H61" s="19" t="n">
        <f aca="false">IFERROR(__xludf.dummyfunction("""COMPUTED_VALUE"""),0.423611111109494)</f>
        <v>0.423611111109494</v>
      </c>
      <c r="I61" s="19" t="n">
        <f aca="false">IFERROR(__xludf.dummyfunction("""COMPUTED_VALUE"""),0.541666666664241)</f>
        <v>0.541666666664241</v>
      </c>
      <c r="J61" s="18" t="n">
        <f aca="false">IFERROR(__xludf.dummyfunction("""COMPUTED_VALUE"""),14.251)</f>
        <v>14.251</v>
      </c>
      <c r="K61" s="18" t="n">
        <f aca="false">IFERROR(__xludf.dummyfunction("""COMPUTED_VALUE"""),0)</f>
        <v>0</v>
      </c>
      <c r="L61" s="18" t="n">
        <f aca="false">IFERROR(__xludf.dummyfunction("""COMPUTED_VALUE"""),0)</f>
        <v>0</v>
      </c>
      <c r="M61" s="18" t="n">
        <f aca="false">IFERROR(__xludf.dummyfunction("""COMPUTED_VALUE"""),0)</f>
        <v>0</v>
      </c>
      <c r="N61" s="18" t="n">
        <f aca="false">IFERROR(__xludf.dummyfunction("""COMPUTED_VALUE"""),14.251)</f>
        <v>14.251</v>
      </c>
      <c r="O61" s="18" t="n">
        <f aca="false">IFERROR(__xludf.dummyfunction("""COMPUTED_VALUE"""),0)</f>
        <v>0</v>
      </c>
      <c r="P61" s="18"/>
      <c r="Q61" s="18"/>
      <c r="R61" s="18" t="n">
        <f aca="false">IFERROR(__xludf.dummyfunction("""COMPUTED_VALUE"""),0)</f>
        <v>0</v>
      </c>
      <c r="S61" s="18" t="str">
        <f aca="false">IFERROR(__xludf.dummyfunction("""COMPUTED_VALUE"""),"8008529892/8008533228/8008534371/8008534377")</f>
        <v>8008529892/8008533228/8008534371/8008534377</v>
      </c>
      <c r="T61" s="18" t="n">
        <f aca="false">IFERROR(__xludf.dummyfunction("""COMPUTED_VALUE"""),30994806)</f>
        <v>30994806</v>
      </c>
      <c r="U61" s="18" t="str">
        <f aca="false">IFERROR(__xludf.dummyfunction("""COMPUTED_VALUE"""),"4,2*2,1*2,1")</f>
        <v>4,2*2,1*2,1</v>
      </c>
      <c r="V61" s="18" t="str">
        <f aca="false">IFERROR(__xludf.dummyfunction("""COMPUTED_VALUE"""),"Нет")</f>
        <v>Нет</v>
      </c>
    </row>
    <row r="62" customFormat="false" ht="15.75" hidden="false" customHeight="false" outlineLevel="0" collapsed="false">
      <c r="A62" s="20" t="n">
        <f aca="false">IFERROR(__xludf.dummyfunction("""COMPUTED_VALUE"""),46254)</f>
        <v>46254</v>
      </c>
      <c r="B62" s="18" t="str">
        <f aca="false">IFERROR(__xludf.dummyfunction("""COMPUTED_VALUE"""),"8008530185/8008530191/8008533023/8008536066")</f>
        <v>8008530185/8008530191/8008533023/8008536066</v>
      </c>
      <c r="C62" s="18" t="str">
        <f aca="false">IFERROR(__xludf.dummyfunction("""COMPUTED_VALUE"""),"О449НТ797/УХ953177")</f>
        <v>О449НТ797/УХ953177</v>
      </c>
      <c r="D62" s="18" t="str">
        <f aca="false">IFERROR(__xludf.dummyfunction("""COMPUTED_VALUE"""),"Отгрузка")</f>
        <v>Отгрузка</v>
      </c>
      <c r="E62" s="18" t="str">
        <f aca="false">IFERROR(__xludf.dummyfunction("""COMPUTED_VALUE"""),"Нет")</f>
        <v>Нет</v>
      </c>
      <c r="F62" s="19" t="n">
        <f aca="false">IFERROR(__xludf.dummyfunction("""COMPUTED_VALUE"""),0.375)</f>
        <v>0.375</v>
      </c>
      <c r="G62" s="19" t="n">
        <f aca="false">IFERROR(__xludf.dummyfunction("""COMPUTED_VALUE"""),0.392361111109494)</f>
        <v>0.392361111109494</v>
      </c>
      <c r="H62" s="19" t="n">
        <f aca="false">IFERROR(__xludf.dummyfunction("""COMPUTED_VALUE"""),0.458333333335759)</f>
        <v>0.458333333335759</v>
      </c>
      <c r="I62" s="19" t="n">
        <f aca="false">IFERROR(__xludf.dummyfunction("""COMPUTED_VALUE"""),0.541666666664241)</f>
        <v>0.541666666664241</v>
      </c>
      <c r="J62" s="18" t="n">
        <f aca="false">IFERROR(__xludf.dummyfunction("""COMPUTED_VALUE"""),82.013)</f>
        <v>82.013</v>
      </c>
      <c r="K62" s="18" t="n">
        <f aca="false">IFERROR(__xludf.dummyfunction("""COMPUTED_VALUE"""),0)</f>
        <v>0</v>
      </c>
      <c r="L62" s="18" t="n">
        <f aca="false">IFERROR(__xludf.dummyfunction("""COMPUTED_VALUE"""),0)</f>
        <v>0</v>
      </c>
      <c r="M62" s="18" t="n">
        <f aca="false">IFERROR(__xludf.dummyfunction("""COMPUTED_VALUE"""),0)</f>
        <v>0</v>
      </c>
      <c r="N62" s="18" t="n">
        <f aca="false">IFERROR(__xludf.dummyfunction("""COMPUTED_VALUE"""),82.013)</f>
        <v>82.013</v>
      </c>
      <c r="O62" s="18" t="n">
        <f aca="false">IFERROR(__xludf.dummyfunction("""COMPUTED_VALUE"""),0)</f>
        <v>0</v>
      </c>
      <c r="P62" s="18"/>
      <c r="Q62" s="18"/>
      <c r="R62" s="18" t="n">
        <f aca="false">IFERROR(__xludf.dummyfunction("""COMPUTED_VALUE"""),0)</f>
        <v>0</v>
      </c>
      <c r="S62" s="18" t="str">
        <f aca="false">IFERROR(__xludf.dummyfunction("""COMPUTED_VALUE"""),"8008530185/8008530191/8008533023/8008536066")</f>
        <v>8008530185/8008530191/8008533023/8008536066</v>
      </c>
      <c r="T62" s="18" t="n">
        <f aca="false">IFERROR(__xludf.dummyfunction("""COMPUTED_VALUE"""),30994827)</f>
        <v>30994827</v>
      </c>
      <c r="U62" s="18" t="str">
        <f aca="false">IFERROR(__xludf.dummyfunction("""COMPUTED_VALUE"""),"16,3*2,5*2,7")</f>
        <v>16,3*2,5*2,7</v>
      </c>
      <c r="V62" s="18" t="str">
        <f aca="false">IFERROR(__xludf.dummyfunction("""COMPUTED_VALUE"""),"Нет")</f>
        <v>Нет</v>
      </c>
    </row>
    <row r="63" customFormat="false" ht="15.75" hidden="false" customHeight="false" outlineLevel="0" collapsed="false">
      <c r="A63" s="20" t="n">
        <f aca="false">IFERROR(__xludf.dummyfunction("""COMPUTED_VALUE"""),46254)</f>
        <v>46254</v>
      </c>
      <c r="B63" s="18" t="str">
        <f aca="false">IFERROR(__xludf.dummyfunction("""COMPUTED_VALUE"""),"8008529892/8008533228/8008534371/8008534377")</f>
        <v>8008529892/8008533228/8008534371/8008534377</v>
      </c>
      <c r="C63" s="18" t="str">
        <f aca="false">IFERROR(__xludf.dummyfunction("""COMPUTED_VALUE"""),"В825УУ47/АТ730447")</f>
        <v>В825УУ47/АТ730447</v>
      </c>
      <c r="D63" s="18" t="str">
        <f aca="false">IFERROR(__xludf.dummyfunction("""COMPUTED_VALUE"""),"Отгрузка")</f>
        <v>Отгрузка</v>
      </c>
      <c r="E63" s="18" t="str">
        <f aca="false">IFERROR(__xludf.dummyfunction("""COMPUTED_VALUE"""),"Нет")</f>
        <v>Нет</v>
      </c>
      <c r="F63" s="19" t="n">
        <f aca="false">IFERROR(__xludf.dummyfunction("""COMPUTED_VALUE"""),0.375)</f>
        <v>0.375</v>
      </c>
      <c r="G63" s="19" t="n">
        <f aca="false">IFERROR(__xludf.dummyfunction("""COMPUTED_VALUE"""),0.400694444440887)</f>
        <v>0.400694444440887</v>
      </c>
      <c r="H63" s="19" t="n">
        <f aca="false">IFERROR(__xludf.dummyfunction("""COMPUTED_VALUE"""),0.545138888890506)</f>
        <v>0.545138888890506</v>
      </c>
      <c r="I63" s="19" t="n">
        <f aca="false">IFERROR(__xludf.dummyfunction("""COMPUTED_VALUE"""),0.604166666664241)</f>
        <v>0.604166666664241</v>
      </c>
      <c r="J63" s="18" t="n">
        <f aca="false">IFERROR(__xludf.dummyfunction("""COMPUTED_VALUE"""),89.463)</f>
        <v>89.463</v>
      </c>
      <c r="K63" s="18" t="n">
        <f aca="false">IFERROR(__xludf.dummyfunction("""COMPUTED_VALUE"""),0)</f>
        <v>0</v>
      </c>
      <c r="L63" s="18" t="n">
        <f aca="false">IFERROR(__xludf.dummyfunction("""COMPUTED_VALUE"""),0)</f>
        <v>0</v>
      </c>
      <c r="M63" s="18" t="n">
        <f aca="false">IFERROR(__xludf.dummyfunction("""COMPUTED_VALUE"""),0)</f>
        <v>0</v>
      </c>
      <c r="N63" s="18" t="n">
        <f aca="false">IFERROR(__xludf.dummyfunction("""COMPUTED_VALUE"""),89.463)</f>
        <v>89.463</v>
      </c>
      <c r="O63" s="18" t="n">
        <f aca="false">IFERROR(__xludf.dummyfunction("""COMPUTED_VALUE"""),0)</f>
        <v>0</v>
      </c>
      <c r="P63" s="18"/>
      <c r="Q63" s="18"/>
      <c r="R63" s="18" t="n">
        <f aca="false">IFERROR(__xludf.dummyfunction("""COMPUTED_VALUE"""),0)</f>
        <v>0</v>
      </c>
      <c r="S63" s="18" t="str">
        <f aca="false">IFERROR(__xludf.dummyfunction("""COMPUTED_VALUE"""),"8008529892/8008533228/8008534371/8008534377")</f>
        <v>8008529892/8008533228/8008534371/8008534377</v>
      </c>
      <c r="T63" s="18" t="str">
        <f aca="false">IFERROR(__xludf.dummyfunction("""COMPUTED_VALUE"""),"30994810/30994809")</f>
        <v>30994810/30994809</v>
      </c>
      <c r="U63" s="18" t="str">
        <f aca="false">IFERROR(__xludf.dummyfunction("""COMPUTED_VALUE"""),"7.7+7.7*2.5*3")</f>
        <v>7.7+7.7*2.5*3</v>
      </c>
      <c r="V63" s="18" t="str">
        <f aca="false">IFERROR(__xludf.dummyfunction("""COMPUTED_VALUE"""),"Нет")</f>
        <v>Нет</v>
      </c>
    </row>
    <row r="64" customFormat="false" ht="15.75" hidden="false" customHeight="false" outlineLevel="0" collapsed="false">
      <c r="A64" s="20" t="n">
        <f aca="false">IFERROR(__xludf.dummyfunction("""COMPUTED_VALUE"""),46254)</f>
        <v>46254</v>
      </c>
      <c r="B64" s="18" t="str">
        <f aca="false">IFERROR(__xludf.dummyfunction("""COMPUTED_VALUE"""),"8008536113/8008536115/8008536127")</f>
        <v>8008536113/8008536115/8008536127</v>
      </c>
      <c r="C64" s="18" t="str">
        <f aca="false">IFERROR(__xludf.dummyfunction("""COMPUTED_VALUE"""),"О955ХМ161/СВ840261")</f>
        <v>О955ХМ161/СВ840261</v>
      </c>
      <c r="D64" s="18" t="str">
        <f aca="false">IFERROR(__xludf.dummyfunction("""COMPUTED_VALUE"""),"Отгрузка")</f>
        <v>Отгрузка</v>
      </c>
      <c r="E64" s="18" t="str">
        <f aca="false">IFERROR(__xludf.dummyfunction("""COMPUTED_VALUE"""),"Нет")</f>
        <v>Нет</v>
      </c>
      <c r="F64" s="19" t="n">
        <f aca="false">IFERROR(__xludf.dummyfunction("""COMPUTED_VALUE"""),0.513888888890506)</f>
        <v>0.513888888890506</v>
      </c>
      <c r="G64" s="19" t="n">
        <f aca="false">IFERROR(__xludf.dummyfunction("""COMPUTED_VALUE"""),0.552083333335759)</f>
        <v>0.552083333335759</v>
      </c>
      <c r="H64" s="19" t="n">
        <f aca="false">IFERROR(__xludf.dummyfunction("""COMPUTED_VALUE"""),0.604166666664241)</f>
        <v>0.604166666664241</v>
      </c>
      <c r="I64" s="19" t="n">
        <f aca="false">IFERROR(__xludf.dummyfunction("""COMPUTED_VALUE"""),0.645833333335759)</f>
        <v>0.645833333335759</v>
      </c>
      <c r="J64" s="18" t="n">
        <f aca="false">IFERROR(__xludf.dummyfunction("""COMPUTED_VALUE"""),71.449)</f>
        <v>71.449</v>
      </c>
      <c r="K64" s="18" t="n">
        <f aca="false">IFERROR(__xludf.dummyfunction("""COMPUTED_VALUE"""),0)</f>
        <v>0</v>
      </c>
      <c r="L64" s="18" t="n">
        <f aca="false">IFERROR(__xludf.dummyfunction("""COMPUTED_VALUE"""),0)</f>
        <v>0</v>
      </c>
      <c r="M64" s="18" t="n">
        <f aca="false">IFERROR(__xludf.dummyfunction("""COMPUTED_VALUE"""),0)</f>
        <v>0</v>
      </c>
      <c r="N64" s="18" t="n">
        <f aca="false">IFERROR(__xludf.dummyfunction("""COMPUTED_VALUE"""),71.449)</f>
        <v>71.449</v>
      </c>
      <c r="O64" s="18" t="n">
        <f aca="false">IFERROR(__xludf.dummyfunction("""COMPUTED_VALUE"""),0)</f>
        <v>0</v>
      </c>
      <c r="P64" s="18"/>
      <c r="Q64" s="18"/>
      <c r="R64" s="18" t="n">
        <f aca="false">IFERROR(__xludf.dummyfunction("""COMPUTED_VALUE"""),0)</f>
        <v>0</v>
      </c>
      <c r="S64" s="18" t="str">
        <f aca="false">IFERROR(__xludf.dummyfunction("""COMPUTED_VALUE"""),"8008536113/8008536115/8008536127")</f>
        <v>8008536113/8008536115/8008536127</v>
      </c>
      <c r="T64" s="18" t="n">
        <f aca="false">IFERROR(__xludf.dummyfunction("""COMPUTED_VALUE"""),30994823)</f>
        <v>30994823</v>
      </c>
      <c r="U64" s="18" t="str">
        <f aca="false">IFERROR(__xludf.dummyfunction("""COMPUTED_VALUE"""),"13,3*2,45*2,65")</f>
        <v>13,3*2,45*2,65</v>
      </c>
      <c r="V64" s="18" t="str">
        <f aca="false">IFERROR(__xludf.dummyfunction("""COMPUTED_VALUE"""),"Нет")</f>
        <v>Нет</v>
      </c>
    </row>
    <row r="65" customFormat="false" ht="15.75" hidden="false" customHeight="false" outlineLevel="0" collapsed="false">
      <c r="A65" s="20" t="n">
        <f aca="false">IFERROR(__xludf.dummyfunction("""COMPUTED_VALUE"""),46254)</f>
        <v>46254</v>
      </c>
      <c r="B65" s="18" t="str">
        <f aca="false">IFERROR(__xludf.dummyfunction("""COMPUTED_VALUE"""),"8008531158/8008531210/8008532636/8008533110/8008533910")</f>
        <v>8008531158/8008531210/8008532636/8008533110/8008533910</v>
      </c>
      <c r="C65" s="18" t="str">
        <f aca="false">IFERROR(__xludf.dummyfunction("""COMPUTED_VALUE"""),"В306ОВ178/ВВ472447")</f>
        <v>В306ОВ178/ВВ472447</v>
      </c>
      <c r="D65" s="18" t="str">
        <f aca="false">IFERROR(__xludf.dummyfunction("""COMPUTED_VALUE"""),"Отгрузка")</f>
        <v>Отгрузка</v>
      </c>
      <c r="E65" s="18" t="str">
        <f aca="false">IFERROR(__xludf.dummyfunction("""COMPUTED_VALUE"""),"Нет")</f>
        <v>Нет</v>
      </c>
      <c r="F65" s="19" t="n">
        <f aca="false">IFERROR(__xludf.dummyfunction("""COMPUTED_VALUE"""),0.4375)</f>
        <v>0.4375</v>
      </c>
      <c r="G65" s="19" t="n">
        <f aca="false">IFERROR(__xludf.dummyfunction("""COMPUTED_VALUE"""),0.454861111109494)</f>
        <v>0.454861111109494</v>
      </c>
      <c r="H65" s="19" t="n">
        <f aca="false">IFERROR(__xludf.dummyfunction("""COMPUTED_VALUE"""),0.569444444445253)</f>
        <v>0.569444444445253</v>
      </c>
      <c r="I65" s="19" t="n">
        <f aca="false">IFERROR(__xludf.dummyfunction("""COMPUTED_VALUE"""),0.645833333335759)</f>
        <v>0.645833333335759</v>
      </c>
      <c r="J65" s="18" t="n">
        <f aca="false">IFERROR(__xludf.dummyfunction("""COMPUTED_VALUE"""),75.213)</f>
        <v>75.213</v>
      </c>
      <c r="K65" s="18" t="n">
        <f aca="false">IFERROR(__xludf.dummyfunction("""COMPUTED_VALUE"""),0)</f>
        <v>0</v>
      </c>
      <c r="L65" s="18" t="n">
        <f aca="false">IFERROR(__xludf.dummyfunction("""COMPUTED_VALUE"""),0)</f>
        <v>0</v>
      </c>
      <c r="M65" s="18" t="n">
        <f aca="false">IFERROR(__xludf.dummyfunction("""COMPUTED_VALUE"""),0)</f>
        <v>0</v>
      </c>
      <c r="N65" s="18" t="n">
        <f aca="false">IFERROR(__xludf.dummyfunction("""COMPUTED_VALUE"""),75.213)</f>
        <v>75.213</v>
      </c>
      <c r="O65" s="18" t="n">
        <f aca="false">IFERROR(__xludf.dummyfunction("""COMPUTED_VALUE"""),0)</f>
        <v>0</v>
      </c>
      <c r="P65" s="18"/>
      <c r="Q65" s="18"/>
      <c r="R65" s="18" t="n">
        <f aca="false">IFERROR(__xludf.dummyfunction("""COMPUTED_VALUE"""),0)</f>
        <v>0</v>
      </c>
      <c r="S65" s="18" t="str">
        <f aca="false">IFERROR(__xludf.dummyfunction("""COMPUTED_VALUE"""),"8008531158/8008531210/8008532636/8008533110/8008533910")</f>
        <v>8008531158/8008531210/8008532636/8008533110/8008533910</v>
      </c>
      <c r="T65" s="18" t="n">
        <f aca="false">IFERROR(__xludf.dummyfunction("""COMPUTED_VALUE"""),30994803)</f>
        <v>30994803</v>
      </c>
      <c r="U65" s="18" t="str">
        <f aca="false">IFERROR(__xludf.dummyfunction("""COMPUTED_VALUE"""),"13,3*2,45*2,69")</f>
        <v>13,3*2,45*2,69</v>
      </c>
      <c r="V65" s="18" t="str">
        <f aca="false">IFERROR(__xludf.dummyfunction("""COMPUTED_VALUE"""),"Нет")</f>
        <v>Нет</v>
      </c>
    </row>
    <row r="66" customFormat="false" ht="15.75" hidden="false" customHeight="false" outlineLevel="0" collapsed="false">
      <c r="A66" s="20" t="n">
        <f aca="false">IFERROR(__xludf.dummyfunction("""COMPUTED_VALUE"""),46255)</f>
        <v>46255</v>
      </c>
      <c r="B66" s="18" t="str">
        <f aca="false">IFERROR(__xludf.dummyfunction("""COMPUTED_VALUE"""),"8008536767/8008537643/8008538175/8008538640")</f>
        <v>8008536767/8008537643/8008538175/8008538640</v>
      </c>
      <c r="C66" s="18" t="str">
        <f aca="false">IFERROR(__xludf.dummyfunction("""COMPUTED_VALUE"""),"С156ТМ47")</f>
        <v>С156ТМ47</v>
      </c>
      <c r="D66" s="18" t="str">
        <f aca="false">IFERROR(__xludf.dummyfunction("""COMPUTED_VALUE"""),"Отгрузка")</f>
        <v>Отгрузка</v>
      </c>
      <c r="E66" s="18" t="str">
        <f aca="false">IFERROR(__xludf.dummyfunction("""COMPUTED_VALUE"""),"Нет")</f>
        <v>Нет</v>
      </c>
      <c r="F66" s="19" t="n">
        <f aca="false">IFERROR(__xludf.dummyfunction("""COMPUTED_VALUE"""),0.479166666664241)</f>
        <v>0.479166666664241</v>
      </c>
      <c r="G66" s="19" t="n">
        <f aca="false">IFERROR(__xludf.dummyfunction("""COMPUTED_VALUE"""),0.482638888890506)</f>
        <v>0.482638888890506</v>
      </c>
      <c r="H66" s="19" t="n">
        <f aca="false">IFERROR(__xludf.dummyfunction("""COMPUTED_VALUE"""),0.486111111109494)</f>
        <v>0.486111111109494</v>
      </c>
      <c r="I66" s="19" t="n">
        <f aca="false">IFERROR(__xludf.dummyfunction("""COMPUTED_VALUE"""),0.520833333335759)</f>
        <v>0.520833333335759</v>
      </c>
      <c r="J66" s="18" t="n">
        <f aca="false">IFERROR(__xludf.dummyfunction("""COMPUTED_VALUE"""),4.542)</f>
        <v>4.542</v>
      </c>
      <c r="K66" s="18" t="n">
        <f aca="false">IFERROR(__xludf.dummyfunction("""COMPUTED_VALUE"""),0)</f>
        <v>0</v>
      </c>
      <c r="L66" s="18" t="n">
        <f aca="false">IFERROR(__xludf.dummyfunction("""COMPUTED_VALUE"""),0)</f>
        <v>0</v>
      </c>
      <c r="M66" s="18" t="n">
        <f aca="false">IFERROR(__xludf.dummyfunction("""COMPUTED_VALUE"""),0)</f>
        <v>0</v>
      </c>
      <c r="N66" s="18" t="n">
        <f aca="false">IFERROR(__xludf.dummyfunction("""COMPUTED_VALUE"""),4.542)</f>
        <v>4.542</v>
      </c>
      <c r="O66" s="18" t="n">
        <f aca="false">IFERROR(__xludf.dummyfunction("""COMPUTED_VALUE"""),0)</f>
        <v>0</v>
      </c>
      <c r="P66" s="18"/>
      <c r="Q66" s="18"/>
      <c r="R66" s="18" t="n">
        <f aca="false">IFERROR(__xludf.dummyfunction("""COMPUTED_VALUE"""),0)</f>
        <v>0</v>
      </c>
      <c r="S66" s="18" t="str">
        <f aca="false">IFERROR(__xludf.dummyfunction("""COMPUTED_VALUE"""),"8008536767/8008537643/8008538175/8008538640")</f>
        <v>8008536767/8008537643/8008538175/8008538640</v>
      </c>
      <c r="T66" s="18" t="n">
        <f aca="false">IFERROR(__xludf.dummyfunction("""COMPUTED_VALUE"""),30994808)</f>
        <v>30994808</v>
      </c>
      <c r="U66" s="18" t="str">
        <f aca="false">IFERROR(__xludf.dummyfunction("""COMPUTED_VALUE"""),"4,2*2,1*2,1")</f>
        <v>4,2*2,1*2,1</v>
      </c>
      <c r="V66" s="18" t="str">
        <f aca="false">IFERROR(__xludf.dummyfunction("""COMPUTED_VALUE"""),"Нет")</f>
        <v>Нет</v>
      </c>
    </row>
    <row r="67" customFormat="false" ht="15.75" hidden="false" customHeight="false" outlineLevel="0" collapsed="false">
      <c r="A67" s="20" t="n">
        <f aca="false">IFERROR(__xludf.dummyfunction("""COMPUTED_VALUE"""),46255)</f>
        <v>46255</v>
      </c>
      <c r="B67" s="18" t="n">
        <f aca="false">IFERROR(__xludf.dummyfunction("""COMPUTED_VALUE"""),8008538166)</f>
        <v>8008538166</v>
      </c>
      <c r="C67" s="18" t="str">
        <f aca="false">IFERROR(__xludf.dummyfunction("""COMPUTED_VALUE"""),"К582ВЕ147/ВК298647")</f>
        <v>К582ВЕ147/ВК298647</v>
      </c>
      <c r="D67" s="18" t="str">
        <f aca="false">IFERROR(__xludf.dummyfunction("""COMPUTED_VALUE"""),"Приёмка")</f>
        <v>Приёмка</v>
      </c>
      <c r="E67" s="18" t="str">
        <f aca="false">IFERROR(__xludf.dummyfunction("""COMPUTED_VALUE"""),"Нет")</f>
        <v>Нет</v>
      </c>
      <c r="F67" s="19" t="n">
        <f aca="false">IFERROR(__xludf.dummyfunction("""COMPUTED_VALUE"""),0.497916666667152)</f>
        <v>0.497916666667152</v>
      </c>
      <c r="G67" s="19" t="n">
        <f aca="false">IFERROR(__xludf.dummyfunction("""COMPUTED_VALUE"""),0.538194444445253)</f>
        <v>0.538194444445253</v>
      </c>
      <c r="H67" s="19" t="n">
        <f aca="false">IFERROR(__xludf.dummyfunction("""COMPUTED_VALUE"""),0.555555555554747)</f>
        <v>0.555555555554747</v>
      </c>
      <c r="I67" s="19" t="n">
        <f aca="false">IFERROR(__xludf.dummyfunction("""COMPUTED_VALUE"""),0.583333333335759)</f>
        <v>0.583333333335759</v>
      </c>
      <c r="J67" s="18" t="n">
        <f aca="false">IFERROR(__xludf.dummyfunction("""COMPUTED_VALUE"""),55.033)</f>
        <v>55.033</v>
      </c>
      <c r="K67" s="18" t="n">
        <f aca="false">IFERROR(__xludf.dummyfunction("""COMPUTED_VALUE"""),55.033)</f>
        <v>55.033</v>
      </c>
      <c r="L67" s="18" t="n">
        <f aca="false">IFERROR(__xludf.dummyfunction("""COMPUTED_VALUE"""),0)</f>
        <v>0</v>
      </c>
      <c r="M67" s="18" t="n">
        <f aca="false">IFERROR(__xludf.dummyfunction("""COMPUTED_VALUE"""),0)</f>
        <v>0</v>
      </c>
      <c r="N67" s="18" t="n">
        <f aca="false">IFERROR(__xludf.dummyfunction("""COMPUTED_VALUE"""),0)</f>
        <v>0</v>
      </c>
      <c r="O67" s="18" t="n">
        <f aca="false">IFERROR(__xludf.dummyfunction("""COMPUTED_VALUE"""),0)</f>
        <v>0</v>
      </c>
      <c r="P67" s="18" t="str">
        <f aca="false">IFERROR(__xludf.dummyfunction("""COMPUTED_VALUE"""),"Без нареканий")</f>
        <v>Без нареканий</v>
      </c>
      <c r="Q67" s="18"/>
      <c r="R67" s="18" t="n">
        <f aca="false">IFERROR(__xludf.dummyfunction("""COMPUTED_VALUE"""),8008538166)</f>
        <v>8008538166</v>
      </c>
      <c r="S67" s="18" t="n">
        <f aca="false">IFERROR(__xludf.dummyfunction("""COMPUTED_VALUE"""),0)</f>
        <v>0</v>
      </c>
      <c r="T67" s="18" t="n">
        <f aca="false">IFERROR(__xludf.dummyfunction("""COMPUTED_VALUE"""),0)</f>
        <v>0</v>
      </c>
      <c r="U67" s="18" t="str">
        <f aca="false">IFERROR(__xludf.dummyfunction("""COMPUTED_VALUE"""),"13,6*2,5*2,7")</f>
        <v>13,6*2,5*2,7</v>
      </c>
      <c r="V67" s="18" t="str">
        <f aca="false">IFERROR(__xludf.dummyfunction("""COMPUTED_VALUE"""),"Нет")</f>
        <v>Нет</v>
      </c>
    </row>
    <row r="68" customFormat="false" ht="15.75" hidden="false" customHeight="false" outlineLevel="0" collapsed="false">
      <c r="A68" s="20" t="n">
        <f aca="false">IFERROR(__xludf.dummyfunction("""COMPUTED_VALUE"""),46255)</f>
        <v>46255</v>
      </c>
      <c r="B68" s="18" t="str">
        <f aca="false">IFERROR(__xludf.dummyfunction("""COMPUTED_VALUE"""),"8008442881/8008527327")</f>
        <v>8008442881/8008527327</v>
      </c>
      <c r="C68" s="18" t="str">
        <f aca="false">IFERROR(__xludf.dummyfunction("""COMPUTED_VALUE"""),"Н202РМ198")</f>
        <v>Н202РМ198</v>
      </c>
      <c r="D68" s="18" t="str">
        <f aca="false">IFERROR(__xludf.dummyfunction("""COMPUTED_VALUE"""),"Отгрузка")</f>
        <v>Отгрузка</v>
      </c>
      <c r="E68" s="18" t="str">
        <f aca="false">IFERROR(__xludf.dummyfunction("""COMPUTED_VALUE"""),"Нет")</f>
        <v>Нет</v>
      </c>
      <c r="F68" s="19" t="n">
        <f aca="false">IFERROR(__xludf.dummyfunction("""COMPUTED_VALUE"""),0.534722222218989)</f>
        <v>0.534722222218989</v>
      </c>
      <c r="G68" s="19" t="n">
        <f aca="false">IFERROR(__xludf.dummyfunction("""COMPUTED_VALUE"""),0.538194444445253)</f>
        <v>0.538194444445253</v>
      </c>
      <c r="H68" s="19" t="n">
        <f aca="false">IFERROR(__xludf.dummyfunction("""COMPUTED_VALUE"""),0.552083333335759)</f>
        <v>0.552083333335759</v>
      </c>
      <c r="I68" s="19" t="n">
        <f aca="false">IFERROR(__xludf.dummyfunction("""COMPUTED_VALUE"""),0.583333333335759)</f>
        <v>0.583333333335759</v>
      </c>
      <c r="J68" s="18" t="n">
        <f aca="false">IFERROR(__xludf.dummyfunction("""COMPUTED_VALUE"""),10.53)</f>
        <v>10.53</v>
      </c>
      <c r="K68" s="18" t="n">
        <f aca="false">IFERROR(__xludf.dummyfunction("""COMPUTED_VALUE"""),0)</f>
        <v>0</v>
      </c>
      <c r="L68" s="18" t="n">
        <f aca="false">IFERROR(__xludf.dummyfunction("""COMPUTED_VALUE"""),0)</f>
        <v>0</v>
      </c>
      <c r="M68" s="18" t="n">
        <f aca="false">IFERROR(__xludf.dummyfunction("""COMPUTED_VALUE"""),0)</f>
        <v>0</v>
      </c>
      <c r="N68" s="18" t="n">
        <f aca="false">IFERROR(__xludf.dummyfunction("""COMPUTED_VALUE"""),10.53)</f>
        <v>10.53</v>
      </c>
      <c r="O68" s="18" t="n">
        <f aca="false">IFERROR(__xludf.dummyfunction("""COMPUTED_VALUE"""),0)</f>
        <v>0</v>
      </c>
      <c r="P68" s="18"/>
      <c r="Q68" s="18"/>
      <c r="R68" s="18" t="n">
        <f aca="false">IFERROR(__xludf.dummyfunction("""COMPUTED_VALUE"""),0)</f>
        <v>0</v>
      </c>
      <c r="S68" s="18" t="str">
        <f aca="false">IFERROR(__xludf.dummyfunction("""COMPUTED_VALUE"""),"8008442881/8008527327")</f>
        <v>8008442881/8008527327</v>
      </c>
      <c r="T68" s="18" t="n">
        <f aca="false">IFERROR(__xludf.dummyfunction("""COMPUTED_VALUE"""),30994801)</f>
        <v>30994801</v>
      </c>
      <c r="U68" s="18" t="str">
        <f aca="false">IFERROR(__xludf.dummyfunction("""COMPUTED_VALUE"""),"7*2.4*2.2")</f>
        <v>7*2.4*2.2</v>
      </c>
      <c r="V68" s="18" t="str">
        <f aca="false">IFERROR(__xludf.dummyfunction("""COMPUTED_VALUE"""),"Нет")</f>
        <v>Нет</v>
      </c>
    </row>
    <row r="69" customFormat="false" ht="15.75" hidden="false" customHeight="false" outlineLevel="0" collapsed="false">
      <c r="A69" s="20" t="n">
        <f aca="false">IFERROR(__xludf.dummyfunction("""COMPUTED_VALUE"""),46258)</f>
        <v>46258</v>
      </c>
      <c r="B69" s="18" t="n">
        <f aca="false">IFERROR(__xludf.dummyfunction("""COMPUTED_VALUE"""),8008469261)</f>
        <v>8008469261</v>
      </c>
      <c r="C69" s="18" t="str">
        <f aca="false">IFERROR(__xludf.dummyfunction("""COMPUTED_VALUE"""),"Р552ВО198")</f>
        <v>Р552ВО198</v>
      </c>
      <c r="D69" s="18" t="str">
        <f aca="false">IFERROR(__xludf.dummyfunction("""COMPUTED_VALUE"""),"Отгрузка")</f>
        <v>Отгрузка</v>
      </c>
      <c r="E69" s="18" t="str">
        <f aca="false">IFERROR(__xludf.dummyfunction("""COMPUTED_VALUE"""),"Нет")</f>
        <v>Нет</v>
      </c>
      <c r="F69" s="19" t="n">
        <f aca="false">IFERROR(__xludf.dummyfunction("""COMPUTED_VALUE"""),0.402777777781012)</f>
        <v>0.402777777781012</v>
      </c>
      <c r="G69" s="19" t="n">
        <f aca="false">IFERROR(__xludf.dummyfunction("""COMPUTED_VALUE"""),0.421527777776646)</f>
        <v>0.421527777776646</v>
      </c>
      <c r="H69" s="19" t="n">
        <f aca="false">IFERROR(__xludf.dummyfunction("""COMPUTED_VALUE"""),0.428472222221899)</f>
        <v>0.428472222221899</v>
      </c>
      <c r="I69" s="19" t="n">
        <f aca="false">IFERROR(__xludf.dummyfunction("""COMPUTED_VALUE"""),0.458333333335759)</f>
        <v>0.458333333335759</v>
      </c>
      <c r="J69" s="18" t="n">
        <f aca="false">IFERROR(__xludf.dummyfunction("""COMPUTED_VALUE"""),8.078)</f>
        <v>8.078</v>
      </c>
      <c r="K69" s="18" t="n">
        <f aca="false">IFERROR(__xludf.dummyfunction("""COMPUTED_VALUE"""),0)</f>
        <v>0</v>
      </c>
      <c r="L69" s="18" t="n">
        <f aca="false">IFERROR(__xludf.dummyfunction("""COMPUTED_VALUE"""),0)</f>
        <v>0</v>
      </c>
      <c r="M69" s="18" t="n">
        <f aca="false">IFERROR(__xludf.dummyfunction("""COMPUTED_VALUE"""),0)</f>
        <v>0</v>
      </c>
      <c r="N69" s="18" t="n">
        <f aca="false">IFERROR(__xludf.dummyfunction("""COMPUTED_VALUE"""),8.078)</f>
        <v>8.078</v>
      </c>
      <c r="O69" s="18" t="n">
        <f aca="false">IFERROR(__xludf.dummyfunction("""COMPUTED_VALUE"""),0)</f>
        <v>0</v>
      </c>
      <c r="P69" s="18"/>
      <c r="Q69" s="18"/>
      <c r="R69" s="18" t="n">
        <f aca="false">IFERROR(__xludf.dummyfunction("""COMPUTED_VALUE"""),0)</f>
        <v>0</v>
      </c>
      <c r="S69" s="18" t="n">
        <f aca="false">IFERROR(__xludf.dummyfunction("""COMPUTED_VALUE"""),8008469261)</f>
        <v>8008469261</v>
      </c>
      <c r="T69" s="18" t="n">
        <f aca="false">IFERROR(__xludf.dummyfunction("""COMPUTED_VALUE"""),30994805)</f>
        <v>30994805</v>
      </c>
      <c r="U69" s="18" t="str">
        <f aca="false">IFERROR(__xludf.dummyfunction("""COMPUTED_VALUE"""),"7,4*2,45*2,75")</f>
        <v>7,4*2,45*2,75</v>
      </c>
      <c r="V69" s="18" t="str">
        <f aca="false">IFERROR(__xludf.dummyfunction("""COMPUTED_VALUE"""),"Нет")</f>
        <v>Нет</v>
      </c>
    </row>
    <row r="70" customFormat="false" ht="15.75" hidden="false" customHeight="false" outlineLevel="0" collapsed="false">
      <c r="A70" s="20" t="n">
        <f aca="false">IFERROR(__xludf.dummyfunction("""COMPUTED_VALUE"""),46258)</f>
        <v>46258</v>
      </c>
      <c r="B70" s="18" t="str">
        <f aca="false">IFERROR(__xludf.dummyfunction("""COMPUTED_VALUE"""),"8008540931/8008540932")</f>
        <v>8008540931/8008540932</v>
      </c>
      <c r="C70" s="18" t="str">
        <f aca="false">IFERROR(__xludf.dummyfunction("""COMPUTED_VALUE"""),"Р088ММ40/АМ102540")</f>
        <v>Р088ММ40/АМ102540</v>
      </c>
      <c r="D70" s="18" t="str">
        <f aca="false">IFERROR(__xludf.dummyfunction("""COMPUTED_VALUE"""),"Отгрузка")</f>
        <v>Отгрузка</v>
      </c>
      <c r="E70" s="18" t="str">
        <f aca="false">IFERROR(__xludf.dummyfunction("""COMPUTED_VALUE"""),"Нет")</f>
        <v>Нет</v>
      </c>
      <c r="F70" s="19" t="n">
        <f aca="false">IFERROR(__xludf.dummyfunction("""COMPUTED_VALUE"""),0.5)</f>
        <v>0.5</v>
      </c>
      <c r="G70" s="19" t="n">
        <f aca="false">IFERROR(__xludf.dummyfunction("""COMPUTED_VALUE"""),0.53125)</f>
        <v>0.53125</v>
      </c>
      <c r="H70" s="19" t="n">
        <f aca="false">IFERROR(__xludf.dummyfunction("""COMPUTED_VALUE"""),0.661111111112405)</f>
        <v>0.661111111112405</v>
      </c>
      <c r="I70" s="19" t="n">
        <f aca="false">IFERROR(__xludf.dummyfunction("""COMPUTED_VALUE"""),0.708333333335759)</f>
        <v>0.708333333335759</v>
      </c>
      <c r="J70" s="18" t="n">
        <f aca="false">IFERROR(__xludf.dummyfunction("""COMPUTED_VALUE"""),94.299)</f>
        <v>94.299</v>
      </c>
      <c r="K70" s="18" t="n">
        <f aca="false">IFERROR(__xludf.dummyfunction("""COMPUTED_VALUE"""),0)</f>
        <v>0</v>
      </c>
      <c r="L70" s="18" t="n">
        <f aca="false">IFERROR(__xludf.dummyfunction("""COMPUTED_VALUE"""),0)</f>
        <v>0</v>
      </c>
      <c r="M70" s="18" t="n">
        <f aca="false">IFERROR(__xludf.dummyfunction("""COMPUTED_VALUE"""),0)</f>
        <v>0</v>
      </c>
      <c r="N70" s="18" t="n">
        <f aca="false">IFERROR(__xludf.dummyfunction("""COMPUTED_VALUE"""),94.299)</f>
        <v>94.299</v>
      </c>
      <c r="O70" s="18" t="n">
        <f aca="false">IFERROR(__xludf.dummyfunction("""COMPUTED_VALUE"""),0)</f>
        <v>0</v>
      </c>
      <c r="P70" s="18"/>
      <c r="Q70" s="18"/>
      <c r="R70" s="18" t="n">
        <f aca="false">IFERROR(__xludf.dummyfunction("""COMPUTED_VALUE"""),0)</f>
        <v>0</v>
      </c>
      <c r="S70" s="18" t="str">
        <f aca="false">IFERROR(__xludf.dummyfunction("""COMPUTED_VALUE"""),"8008540931/8008540932")</f>
        <v>8008540931/8008540932</v>
      </c>
      <c r="T70" s="18" t="n">
        <f aca="false">IFERROR(__xludf.dummyfunction("""COMPUTED_VALUE"""),30994802)</f>
        <v>30994802</v>
      </c>
      <c r="U70" s="18" t="str">
        <f aca="false">IFERROR(__xludf.dummyfunction("""COMPUTED_VALUE"""),"16,3*2,4*2,7")</f>
        <v>16,3*2,4*2,7</v>
      </c>
      <c r="V70" s="18" t="str">
        <f aca="false">IFERROR(__xludf.dummyfunction("""COMPUTED_VALUE"""),"Нет")</f>
        <v>Нет</v>
      </c>
    </row>
    <row r="71" customFormat="false" ht="15.75" hidden="false" customHeight="false" outlineLevel="0" collapsed="false">
      <c r="A71" s="20" t="n">
        <f aca="false">IFERROR(__xludf.dummyfunction("""COMPUTED_VALUE"""),46259)</f>
        <v>46259</v>
      </c>
      <c r="B71" s="18" t="str">
        <f aca="false">IFERROR(__xludf.dummyfunction("""COMPUTED_VALUE"""),"8008543131/8008543898/8008543909")</f>
        <v>8008543131/8008543898/8008543909</v>
      </c>
      <c r="C71" s="18" t="str">
        <f aca="false">IFERROR(__xludf.dummyfunction("""COMPUTED_VALUE"""),"С156ТМ47")</f>
        <v>С156ТМ47</v>
      </c>
      <c r="D71" s="18" t="str">
        <f aca="false">IFERROR(__xludf.dummyfunction("""COMPUTED_VALUE"""),"Отгрузка")</f>
        <v>Отгрузка</v>
      </c>
      <c r="E71" s="18" t="str">
        <f aca="false">IFERROR(__xludf.dummyfunction("""COMPUTED_VALUE"""),"Нет")</f>
        <v>Нет</v>
      </c>
      <c r="F71" s="19" t="n">
        <f aca="false">IFERROR(__xludf.dummyfunction("""COMPUTED_VALUE"""),0.375)</f>
        <v>0.375</v>
      </c>
      <c r="G71" s="19" t="n">
        <f aca="false">IFERROR(__xludf.dummyfunction("""COMPUTED_VALUE"""),0.385416666664241)</f>
        <v>0.385416666664241</v>
      </c>
      <c r="H71" s="19" t="n">
        <f aca="false">IFERROR(__xludf.dummyfunction("""COMPUTED_VALUE"""),0.395833333335759)</f>
        <v>0.395833333335759</v>
      </c>
      <c r="I71" s="19" t="n">
        <f aca="false">IFERROR(__xludf.dummyfunction("""COMPUTED_VALUE"""),0.416666666664241)</f>
        <v>0.416666666664241</v>
      </c>
      <c r="J71" s="18" t="n">
        <f aca="false">IFERROR(__xludf.dummyfunction("""COMPUTED_VALUE"""),9.397)</f>
        <v>9.397</v>
      </c>
      <c r="K71" s="18" t="n">
        <f aca="false">IFERROR(__xludf.dummyfunction("""COMPUTED_VALUE"""),0)</f>
        <v>0</v>
      </c>
      <c r="L71" s="18" t="n">
        <f aca="false">IFERROR(__xludf.dummyfunction("""COMPUTED_VALUE"""),0)</f>
        <v>0</v>
      </c>
      <c r="M71" s="18" t="n">
        <f aca="false">IFERROR(__xludf.dummyfunction("""COMPUTED_VALUE"""),0)</f>
        <v>0</v>
      </c>
      <c r="N71" s="18" t="n">
        <f aca="false">IFERROR(__xludf.dummyfunction("""COMPUTED_VALUE"""),9.397)</f>
        <v>9.397</v>
      </c>
      <c r="O71" s="18" t="n">
        <f aca="false">IFERROR(__xludf.dummyfunction("""COMPUTED_VALUE"""),0)</f>
        <v>0</v>
      </c>
      <c r="P71" s="18"/>
      <c r="Q71" s="18"/>
      <c r="R71" s="18" t="n">
        <f aca="false">IFERROR(__xludf.dummyfunction("""COMPUTED_VALUE"""),0)</f>
        <v>0</v>
      </c>
      <c r="S71" s="18" t="str">
        <f aca="false">IFERROR(__xludf.dummyfunction("""COMPUTED_VALUE"""),"8008543131/8008543898/8008543909")</f>
        <v>8008543131/8008543898/8008543909</v>
      </c>
      <c r="T71" s="18" t="n">
        <f aca="false">IFERROR(__xludf.dummyfunction("""COMPUTED_VALUE"""),30994804)</f>
        <v>30994804</v>
      </c>
      <c r="U71" s="18" t="str">
        <f aca="false">IFERROR(__xludf.dummyfunction("""COMPUTED_VALUE"""),"4,2*2,16*2,1")</f>
        <v>4,2*2,16*2,1</v>
      </c>
      <c r="V71" s="18" t="str">
        <f aca="false">IFERROR(__xludf.dummyfunction("""COMPUTED_VALUE"""),"Нет")</f>
        <v>Нет</v>
      </c>
    </row>
    <row r="72" customFormat="false" ht="15.75" hidden="false" customHeight="false" outlineLevel="0" collapsed="false">
      <c r="A72" s="20" t="n">
        <f aca="false">IFERROR(__xludf.dummyfunction("""COMPUTED_VALUE"""),46259)</f>
        <v>46259</v>
      </c>
      <c r="B72" s="18" t="str">
        <f aca="false">IFERROR(__xludf.dummyfunction("""COMPUTED_VALUE"""),"8008540875/8008542792/8008543064/8008543258")</f>
        <v>8008540875/8008542792/8008543064/8008543258</v>
      </c>
      <c r="C72" s="18" t="str">
        <f aca="false">IFERROR(__xludf.dummyfunction("""COMPUTED_VALUE"""),"О216МК198")</f>
        <v>О216МК198</v>
      </c>
      <c r="D72" s="18" t="str">
        <f aca="false">IFERROR(__xludf.dummyfunction("""COMPUTED_VALUE"""),"Отгрузка")</f>
        <v>Отгрузка</v>
      </c>
      <c r="E72" s="18" t="str">
        <f aca="false">IFERROR(__xludf.dummyfunction("""COMPUTED_VALUE"""),"Нет")</f>
        <v>Нет</v>
      </c>
      <c r="F72" s="19" t="n">
        <f aca="false">IFERROR(__xludf.dummyfunction("""COMPUTED_VALUE"""),0.402777777781012)</f>
        <v>0.402777777781012</v>
      </c>
      <c r="G72" s="19" t="n">
        <f aca="false">IFERROR(__xludf.dummyfunction("""COMPUTED_VALUE"""),0.413194444445253)</f>
        <v>0.413194444445253</v>
      </c>
      <c r="H72" s="19" t="n">
        <f aca="false">IFERROR(__xludf.dummyfunction("""COMPUTED_VALUE"""),0.423611111109494)</f>
        <v>0.423611111109494</v>
      </c>
      <c r="I72" s="19" t="n">
        <f aca="false">IFERROR(__xludf.dummyfunction("""COMPUTED_VALUE"""),0.458333333335759)</f>
        <v>0.458333333335759</v>
      </c>
      <c r="J72" s="18" t="n">
        <f aca="false">IFERROR(__xludf.dummyfunction("""COMPUTED_VALUE"""),8.13)</f>
        <v>8.13</v>
      </c>
      <c r="K72" s="18" t="n">
        <f aca="false">IFERROR(__xludf.dummyfunction("""COMPUTED_VALUE"""),0)</f>
        <v>0</v>
      </c>
      <c r="L72" s="18" t="n">
        <f aca="false">IFERROR(__xludf.dummyfunction("""COMPUTED_VALUE"""),0)</f>
        <v>0</v>
      </c>
      <c r="M72" s="18" t="n">
        <f aca="false">IFERROR(__xludf.dummyfunction("""COMPUTED_VALUE"""),0)</f>
        <v>0</v>
      </c>
      <c r="N72" s="18" t="n">
        <f aca="false">IFERROR(__xludf.dummyfunction("""COMPUTED_VALUE"""),8.13)</f>
        <v>8.13</v>
      </c>
      <c r="O72" s="18" t="n">
        <f aca="false">IFERROR(__xludf.dummyfunction("""COMPUTED_VALUE"""),0)</f>
        <v>0</v>
      </c>
      <c r="P72" s="18"/>
      <c r="Q72" s="18"/>
      <c r="R72" s="18" t="n">
        <f aca="false">IFERROR(__xludf.dummyfunction("""COMPUTED_VALUE"""),0)</f>
        <v>0</v>
      </c>
      <c r="S72" s="18" t="str">
        <f aca="false">IFERROR(__xludf.dummyfunction("""COMPUTED_VALUE"""),"8008540875/8008542792/8008543064/8008543258")</f>
        <v>8008540875/8008542792/8008543064/8008543258</v>
      </c>
      <c r="T72" s="18" t="n">
        <f aca="false">IFERROR(__xludf.dummyfunction("""COMPUTED_VALUE"""),30994828)</f>
        <v>30994828</v>
      </c>
      <c r="U72" s="18" t="str">
        <f aca="false">IFERROR(__xludf.dummyfunction("""COMPUTED_VALUE"""),"5*2*2,2")</f>
        <v>5*2*2,2</v>
      </c>
      <c r="V72" s="18" t="str">
        <f aca="false">IFERROR(__xludf.dummyfunction("""COMPUTED_VALUE"""),"Нет")</f>
        <v>Нет</v>
      </c>
    </row>
    <row r="73" customFormat="false" ht="15.75" hidden="false" customHeight="false" outlineLevel="0" collapsed="false">
      <c r="A73" s="20" t="n">
        <f aca="false">IFERROR(__xludf.dummyfunction("""COMPUTED_VALUE"""),46259)</f>
        <v>46259</v>
      </c>
      <c r="B73" s="18" t="str">
        <f aca="false">IFERROR(__xludf.dummyfunction("""COMPUTED_VALUE"""),"8008532930/8008532964")</f>
        <v>8008532930/8008532964</v>
      </c>
      <c r="C73" s="18" t="str">
        <f aca="false">IFERROR(__xludf.dummyfunction("""COMPUTED_VALUE"""),"Т207НЕ178")</f>
        <v>Т207НЕ178</v>
      </c>
      <c r="D73" s="18" t="str">
        <f aca="false">IFERROR(__xludf.dummyfunction("""COMPUTED_VALUE"""),"Отгрузка")</f>
        <v>Отгрузка</v>
      </c>
      <c r="E73" s="18" t="str">
        <f aca="false">IFERROR(__xludf.dummyfunction("""COMPUTED_VALUE"""),"Нет")</f>
        <v>Нет</v>
      </c>
      <c r="F73" s="19" t="n">
        <f aca="false">IFERROR(__xludf.dummyfunction("""COMPUTED_VALUE"""),0.409722222218988)</f>
        <v>0.409722222218988</v>
      </c>
      <c r="G73" s="19" t="n">
        <f aca="false">IFERROR(__xludf.dummyfunction("""COMPUTED_VALUE"""),0.423611111109494)</f>
        <v>0.423611111109494</v>
      </c>
      <c r="H73" s="19" t="n">
        <f aca="false">IFERROR(__xludf.dummyfunction("""COMPUTED_VALUE"""),0.4375)</f>
        <v>0.4375</v>
      </c>
      <c r="I73" s="19" t="n">
        <f aca="false">IFERROR(__xludf.dummyfunction("""COMPUTED_VALUE"""),0.458333333335759)</f>
        <v>0.458333333335759</v>
      </c>
      <c r="J73" s="18" t="n">
        <f aca="false">IFERROR(__xludf.dummyfunction("""COMPUTED_VALUE"""),5.486)</f>
        <v>5.486</v>
      </c>
      <c r="K73" s="18" t="n">
        <f aca="false">IFERROR(__xludf.dummyfunction("""COMPUTED_VALUE"""),0)</f>
        <v>0</v>
      </c>
      <c r="L73" s="18" t="n">
        <f aca="false">IFERROR(__xludf.dummyfunction("""COMPUTED_VALUE"""),0)</f>
        <v>0</v>
      </c>
      <c r="M73" s="18" t="n">
        <f aca="false">IFERROR(__xludf.dummyfunction("""COMPUTED_VALUE"""),0)</f>
        <v>0</v>
      </c>
      <c r="N73" s="18" t="n">
        <f aca="false">IFERROR(__xludf.dummyfunction("""COMPUTED_VALUE"""),5.486)</f>
        <v>5.486</v>
      </c>
      <c r="O73" s="18" t="n">
        <f aca="false">IFERROR(__xludf.dummyfunction("""COMPUTED_VALUE"""),0)</f>
        <v>0</v>
      </c>
      <c r="P73" s="18"/>
      <c r="Q73" s="18"/>
      <c r="R73" s="18" t="n">
        <f aca="false">IFERROR(__xludf.dummyfunction("""COMPUTED_VALUE"""),0)</f>
        <v>0</v>
      </c>
      <c r="S73" s="18" t="str">
        <f aca="false">IFERROR(__xludf.dummyfunction("""COMPUTED_VALUE"""),"8008532930/8008532964")</f>
        <v>8008532930/8008532964</v>
      </c>
      <c r="T73" s="18" t="n">
        <f aca="false">IFERROR(__xludf.dummyfunction("""COMPUTED_VALUE"""),30994822)</f>
        <v>30994822</v>
      </c>
      <c r="U73" s="18" t="str">
        <f aca="false">IFERROR(__xludf.dummyfunction("""COMPUTED_VALUE"""),"4,08*2,08*1,95")</f>
        <v>4,08*2,08*1,95</v>
      </c>
      <c r="V73" s="18" t="str">
        <f aca="false">IFERROR(__xludf.dummyfunction("""COMPUTED_VALUE"""),"Нет")</f>
        <v>Нет</v>
      </c>
    </row>
    <row r="74" customFormat="false" ht="15.75" hidden="false" customHeight="false" outlineLevel="0" collapsed="false">
      <c r="A74" s="20" t="n">
        <f aca="false">IFERROR(__xludf.dummyfunction("""COMPUTED_VALUE"""),46259)</f>
        <v>46259</v>
      </c>
      <c r="B74" s="18" t="n">
        <f aca="false">IFERROR(__xludf.dummyfunction("""COMPUTED_VALUE"""),8008543768)</f>
        <v>8008543768</v>
      </c>
      <c r="C74" s="18" t="str">
        <f aca="false">IFERROR(__xludf.dummyfunction("""COMPUTED_VALUE"""),"М616УО196/АУ819966")</f>
        <v>М616УО196/АУ819966</v>
      </c>
      <c r="D74" s="18" t="str">
        <f aca="false">IFERROR(__xludf.dummyfunction("""COMPUTED_VALUE"""),"Отгрузка")</f>
        <v>Отгрузка</v>
      </c>
      <c r="E74" s="18" t="str">
        <f aca="false">IFERROR(__xludf.dummyfunction("""COMPUTED_VALUE"""),"Нет")</f>
        <v>Нет</v>
      </c>
      <c r="F74" s="19" t="n">
        <f aca="false">IFERROR(__xludf.dummyfunction("""COMPUTED_VALUE"""),0.381944444445253)</f>
        <v>0.381944444445253</v>
      </c>
      <c r="G74" s="19" t="n">
        <f aca="false">IFERROR(__xludf.dummyfunction("""COMPUTED_VALUE"""),0.395833333335759)</f>
        <v>0.395833333335759</v>
      </c>
      <c r="H74" s="19" t="n">
        <f aca="false">IFERROR(__xludf.dummyfunction("""COMPUTED_VALUE"""),0.444444444445253)</f>
        <v>0.444444444445253</v>
      </c>
      <c r="I74" s="19" t="n">
        <f aca="false">IFERROR(__xludf.dummyfunction("""COMPUTED_VALUE"""),0.458333333335759)</f>
        <v>0.458333333335759</v>
      </c>
      <c r="J74" s="18" t="n">
        <f aca="false">IFERROR(__xludf.dummyfunction("""COMPUTED_VALUE"""),37.748)</f>
        <v>37.748</v>
      </c>
      <c r="K74" s="18" t="n">
        <f aca="false">IFERROR(__xludf.dummyfunction("""COMPUTED_VALUE"""),0)</f>
        <v>0</v>
      </c>
      <c r="L74" s="18" t="n">
        <f aca="false">IFERROR(__xludf.dummyfunction("""COMPUTED_VALUE"""),0)</f>
        <v>0</v>
      </c>
      <c r="M74" s="18" t="n">
        <f aca="false">IFERROR(__xludf.dummyfunction("""COMPUTED_VALUE"""),0)</f>
        <v>0</v>
      </c>
      <c r="N74" s="18" t="n">
        <f aca="false">IFERROR(__xludf.dummyfunction("""COMPUTED_VALUE"""),37.748)</f>
        <v>37.748</v>
      </c>
      <c r="O74" s="18" t="n">
        <f aca="false">IFERROR(__xludf.dummyfunction("""COMPUTED_VALUE"""),0)</f>
        <v>0</v>
      </c>
      <c r="P74" s="18"/>
      <c r="Q74" s="18"/>
      <c r="R74" s="18" t="n">
        <f aca="false">IFERROR(__xludf.dummyfunction("""COMPUTED_VALUE"""),0)</f>
        <v>0</v>
      </c>
      <c r="S74" s="18" t="n">
        <f aca="false">IFERROR(__xludf.dummyfunction("""COMPUTED_VALUE"""),8008543768)</f>
        <v>8008543768</v>
      </c>
      <c r="T74" s="18" t="n">
        <f aca="false">IFERROR(__xludf.dummyfunction("""COMPUTED_VALUE"""),30994807)</f>
        <v>30994807</v>
      </c>
      <c r="U74" s="18" t="str">
        <f aca="false">IFERROR(__xludf.dummyfunction("""COMPUTED_VALUE"""),"13,6*2,5*2,7")</f>
        <v>13,6*2,5*2,7</v>
      </c>
      <c r="V74" s="18" t="str">
        <f aca="false">IFERROR(__xludf.dummyfunction("""COMPUTED_VALUE"""),"Нет")</f>
        <v>Нет</v>
      </c>
    </row>
    <row r="75" customFormat="false" ht="15.75" hidden="false" customHeight="false" outlineLevel="0" collapsed="false">
      <c r="A75" s="20" t="n">
        <f aca="false">IFERROR(__xludf.dummyfunction("""COMPUTED_VALUE"""),46259)</f>
        <v>46259</v>
      </c>
      <c r="B75" s="18" t="n">
        <f aca="false">IFERROR(__xludf.dummyfunction("""COMPUTED_VALUE"""),8008543544)</f>
        <v>8008543544</v>
      </c>
      <c r="C75" s="18" t="str">
        <f aca="false">IFERROR(__xludf.dummyfunction("""COMPUTED_VALUE"""),"М338СМ761/СУ153561")</f>
        <v>М338СМ761/СУ153561</v>
      </c>
      <c r="D75" s="18" t="str">
        <f aca="false">IFERROR(__xludf.dummyfunction("""COMPUTED_VALUE"""),"Отгрузка")</f>
        <v>Отгрузка</v>
      </c>
      <c r="E75" s="18" t="str">
        <f aca="false">IFERROR(__xludf.dummyfunction("""COMPUTED_VALUE"""),"Нет")</f>
        <v>Нет</v>
      </c>
      <c r="F75" s="19" t="n">
        <f aca="false">IFERROR(__xludf.dummyfunction("""COMPUTED_VALUE"""),0.409722222218988)</f>
        <v>0.409722222218988</v>
      </c>
      <c r="G75" s="19" t="n">
        <f aca="false">IFERROR(__xludf.dummyfunction("""COMPUTED_VALUE"""),0.447916666664241)</f>
        <v>0.447916666664241</v>
      </c>
      <c r="H75" s="19" t="n">
        <f aca="false">IFERROR(__xludf.dummyfunction("""COMPUTED_VALUE"""),0.46875)</f>
        <v>0.46875</v>
      </c>
      <c r="I75" s="19" t="n">
        <f aca="false">IFERROR(__xludf.dummyfunction("""COMPUTED_VALUE"""),0.510416666664241)</f>
        <v>0.510416666664241</v>
      </c>
      <c r="J75" s="18" t="n">
        <f aca="false">IFERROR(__xludf.dummyfunction("""COMPUTED_VALUE"""),33.81)</f>
        <v>33.81</v>
      </c>
      <c r="K75" s="18" t="n">
        <f aca="false">IFERROR(__xludf.dummyfunction("""COMPUTED_VALUE"""),0)</f>
        <v>0</v>
      </c>
      <c r="L75" s="18" t="n">
        <f aca="false">IFERROR(__xludf.dummyfunction("""COMPUTED_VALUE"""),0)</f>
        <v>0</v>
      </c>
      <c r="M75" s="18" t="n">
        <f aca="false">IFERROR(__xludf.dummyfunction("""COMPUTED_VALUE"""),0)</f>
        <v>0</v>
      </c>
      <c r="N75" s="18" t="n">
        <f aca="false">IFERROR(__xludf.dummyfunction("""COMPUTED_VALUE"""),33.81)</f>
        <v>33.81</v>
      </c>
      <c r="O75" s="18" t="n">
        <f aca="false">IFERROR(__xludf.dummyfunction("""COMPUTED_VALUE"""),0)</f>
        <v>0</v>
      </c>
      <c r="P75" s="18"/>
      <c r="Q75" s="18"/>
      <c r="R75" s="18" t="n">
        <f aca="false">IFERROR(__xludf.dummyfunction("""COMPUTED_VALUE"""),0)</f>
        <v>0</v>
      </c>
      <c r="S75" s="18" t="n">
        <f aca="false">IFERROR(__xludf.dummyfunction("""COMPUTED_VALUE"""),8008543544)</f>
        <v>8008543544</v>
      </c>
      <c r="T75" s="18" t="n">
        <f aca="false">IFERROR(__xludf.dummyfunction("""COMPUTED_VALUE"""),30994825)</f>
        <v>30994825</v>
      </c>
      <c r="U75" s="18" t="str">
        <f aca="false">IFERROR(__xludf.dummyfunction("""COMPUTED_VALUE"""),"13,5*2,4*2,7")</f>
        <v>13,5*2,4*2,7</v>
      </c>
      <c r="V75" s="18" t="str">
        <f aca="false">IFERROR(__xludf.dummyfunction("""COMPUTED_VALUE"""),"Нет")</f>
        <v>Нет</v>
      </c>
    </row>
    <row r="76" customFormat="false" ht="15.75" hidden="false" customHeight="false" outlineLevel="0" collapsed="false">
      <c r="A76" s="20" t="n">
        <f aca="false">IFERROR(__xludf.dummyfunction("""COMPUTED_VALUE"""),46259)</f>
        <v>46259</v>
      </c>
      <c r="B76" s="18" t="str">
        <f aca="false">IFERROR(__xludf.dummyfunction("""COMPUTED_VALUE"""),"8008540882/8008543828")</f>
        <v>8008540882/8008543828</v>
      </c>
      <c r="C76" s="18" t="str">
        <f aca="false">IFERROR(__xludf.dummyfunction("""COMPUTED_VALUE"""),"К582ВЕ147/ВК298647")</f>
        <v>К582ВЕ147/ВК298647</v>
      </c>
      <c r="D76" s="18" t="str">
        <f aca="false">IFERROR(__xludf.dummyfunction("""COMPUTED_VALUE"""),"Приёмка")</f>
        <v>Приёмка</v>
      </c>
      <c r="E76" s="18" t="str">
        <f aca="false">IFERROR(__xludf.dummyfunction("""COMPUTED_VALUE"""),"Нет")</f>
        <v>Нет</v>
      </c>
      <c r="F76" s="19" t="n">
        <f aca="false">IFERROR(__xludf.dummyfunction("""COMPUTED_VALUE"""),0.502083333332848)</f>
        <v>0.502083333332848</v>
      </c>
      <c r="G76" s="19" t="n">
        <f aca="false">IFERROR(__xludf.dummyfunction("""COMPUTED_VALUE"""),0.534722222218989)</f>
        <v>0.534722222218989</v>
      </c>
      <c r="H76" s="19" t="n">
        <f aca="false">IFERROR(__xludf.dummyfunction("""COMPUTED_VALUE"""),0.555555555554747)</f>
        <v>0.555555555554747</v>
      </c>
      <c r="I76" s="19" t="n">
        <f aca="false">IFERROR(__xludf.dummyfunction("""COMPUTED_VALUE"""),0.5625)</f>
        <v>0.5625</v>
      </c>
      <c r="J76" s="18" t="n">
        <f aca="false">IFERROR(__xludf.dummyfunction("""COMPUTED_VALUE"""),50.382)</f>
        <v>50.382</v>
      </c>
      <c r="K76" s="18" t="n">
        <f aca="false">IFERROR(__xludf.dummyfunction("""COMPUTED_VALUE"""),0)</f>
        <v>0</v>
      </c>
      <c r="L76" s="18" t="n">
        <f aca="false">IFERROR(__xludf.dummyfunction("""COMPUTED_VALUE"""),50.382)</f>
        <v>50.382</v>
      </c>
      <c r="M76" s="18" t="n">
        <f aca="false">IFERROR(__xludf.dummyfunction("""COMPUTED_VALUE"""),0)</f>
        <v>0</v>
      </c>
      <c r="N76" s="18" t="n">
        <f aca="false">IFERROR(__xludf.dummyfunction("""COMPUTED_VALUE"""),0)</f>
        <v>0</v>
      </c>
      <c r="O76" s="18" t="n">
        <f aca="false">IFERROR(__xludf.dummyfunction("""COMPUTED_VALUE"""),0)</f>
        <v>0</v>
      </c>
      <c r="P76" s="18" t="str">
        <f aca="false">IFERROR(__xludf.dummyfunction("""COMPUTED_VALUE"""),"Без нареканий")</f>
        <v>Без нареканий</v>
      </c>
      <c r="Q76" s="18"/>
      <c r="R76" s="18" t="str">
        <f aca="false">IFERROR(__xludf.dummyfunction("""COMPUTED_VALUE"""),"8008531120/8008531149/8008531166")</f>
        <v>8008531120/8008531149/8008531166</v>
      </c>
      <c r="S76" s="18" t="n">
        <f aca="false">IFERROR(__xludf.dummyfunction("""COMPUTED_VALUE"""),0)</f>
        <v>0</v>
      </c>
      <c r="T76" s="18" t="n">
        <f aca="false">IFERROR(__xludf.dummyfunction("""COMPUTED_VALUE"""),0)</f>
        <v>0</v>
      </c>
      <c r="U76" s="18" t="str">
        <f aca="false">IFERROR(__xludf.dummyfunction("""COMPUTED_VALUE"""),"13,6*2,45*2,7")</f>
        <v>13,6*2,45*2,7</v>
      </c>
      <c r="V76" s="18" t="str">
        <f aca="false">IFERROR(__xludf.dummyfunction("""COMPUTED_VALUE"""),"Нет")</f>
        <v>Нет</v>
      </c>
    </row>
    <row r="77" customFormat="false" ht="15.75" hidden="false" customHeight="false" outlineLevel="0" collapsed="false">
      <c r="A77" s="20" t="n">
        <f aca="false">IFERROR(__xludf.dummyfunction("""COMPUTED_VALUE"""),46259)</f>
        <v>46259</v>
      </c>
      <c r="B77" s="18" t="str">
        <f aca="false">IFERROR(__xludf.dummyfunction("""COMPUTED_VALUE"""),"8008531120/8008531149/8008531166")</f>
        <v>8008531120/8008531149/8008531166</v>
      </c>
      <c r="C77" s="18" t="str">
        <f aca="false">IFERROR(__xludf.dummyfunction("""COMPUTED_VALUE"""),"Р452ОО62/АМ039662")</f>
        <v>Р452ОО62/АМ039662</v>
      </c>
      <c r="D77" s="18" t="str">
        <f aca="false">IFERROR(__xludf.dummyfunction("""COMPUTED_VALUE"""),"Отгрузка")</f>
        <v>Отгрузка</v>
      </c>
      <c r="E77" s="18" t="str">
        <f aca="false">IFERROR(__xludf.dummyfunction("""COMPUTED_VALUE"""),"Нет")</f>
        <v>Нет</v>
      </c>
      <c r="F77" s="19" t="n">
        <f aca="false">IFERROR(__xludf.dummyfunction("""COMPUTED_VALUE"""),0.520833333335759)</f>
        <v>0.520833333335759</v>
      </c>
      <c r="G77" s="19" t="n">
        <f aca="false">IFERROR(__xludf.dummyfunction("""COMPUTED_VALUE"""),0.53125)</f>
        <v>0.53125</v>
      </c>
      <c r="H77" s="19" t="n">
        <f aca="false">IFERROR(__xludf.dummyfunction("""COMPUTED_VALUE"""),0.590972222220444)</f>
        <v>0.590972222220444</v>
      </c>
      <c r="I77" s="19" t="n">
        <f aca="false">IFERROR(__xludf.dummyfunction("""COMPUTED_VALUE"""),0.645833333335759)</f>
        <v>0.645833333335759</v>
      </c>
      <c r="J77" s="18" t="n">
        <f aca="false">IFERROR(__xludf.dummyfunction("""COMPUTED_VALUE"""),52.776)</f>
        <v>52.776</v>
      </c>
      <c r="K77" s="18" t="n">
        <f aca="false">IFERROR(__xludf.dummyfunction("""COMPUTED_VALUE"""),0)</f>
        <v>0</v>
      </c>
      <c r="L77" s="18" t="n">
        <f aca="false">IFERROR(__xludf.dummyfunction("""COMPUTED_VALUE"""),0)</f>
        <v>0</v>
      </c>
      <c r="M77" s="18" t="n">
        <f aca="false">IFERROR(__xludf.dummyfunction("""COMPUTED_VALUE"""),52.776)</f>
        <v>52.776</v>
      </c>
      <c r="N77" s="18" t="n">
        <f aca="false">IFERROR(__xludf.dummyfunction("""COMPUTED_VALUE"""),0)</f>
        <v>0</v>
      </c>
      <c r="O77" s="18" t="n">
        <f aca="false">IFERROR(__xludf.dummyfunction("""COMPUTED_VALUE"""),0)</f>
        <v>0</v>
      </c>
      <c r="P77" s="18"/>
      <c r="Q77" s="18"/>
      <c r="R77" s="18" t="n">
        <f aca="false">IFERROR(__xludf.dummyfunction("""COMPUTED_VALUE"""),0)</f>
        <v>0</v>
      </c>
      <c r="S77" s="18" t="str">
        <f aca="false">IFERROR(__xludf.dummyfunction("""COMPUTED_VALUE"""),"8008531120/8008531149/8008531166")</f>
        <v>8008531120/8008531149/8008531166</v>
      </c>
      <c r="T77" s="18" t="n">
        <f aca="false">IFERROR(__xludf.dummyfunction("""COMPUTED_VALUE"""),30994754)</f>
        <v>30994754</v>
      </c>
      <c r="U77" s="18" t="str">
        <f aca="false">IFERROR(__xludf.dummyfunction("""COMPUTED_VALUE"""),"13,6*2,45*2,7")</f>
        <v>13,6*2,45*2,7</v>
      </c>
      <c r="V77" s="18" t="str">
        <f aca="false">IFERROR(__xludf.dummyfunction("""COMPUTED_VALUE"""),"Нет")</f>
        <v>Нет</v>
      </c>
    </row>
    <row r="78" customFormat="false" ht="15.75" hidden="false" customHeight="false" outlineLevel="0" collapsed="false">
      <c r="A78" s="20" t="n">
        <f aca="false">IFERROR(__xludf.dummyfunction("""COMPUTED_VALUE"""),46259)</f>
        <v>46259</v>
      </c>
      <c r="B78" s="18" t="str">
        <f aca="false">IFERROR(__xludf.dummyfunction("""COMPUTED_VALUE"""),"8008531120/8008531149/8008531166")</f>
        <v>8008531120/8008531149/8008531166</v>
      </c>
      <c r="C78" s="18"/>
      <c r="D78" s="18" t="s">
        <v>33</v>
      </c>
      <c r="E78" s="18" t="str">
        <f aca="false">IFERROR(__xludf.dummyfunction("""COMPUTED_VALUE"""),"Нет")</f>
        <v>Нет</v>
      </c>
      <c r="F78" s="21" t="s">
        <v>12</v>
      </c>
      <c r="G78" s="21" t="s">
        <v>12</v>
      </c>
      <c r="H78" s="21" t="s">
        <v>12</v>
      </c>
      <c r="I78" s="21" t="s">
        <v>12</v>
      </c>
      <c r="J78" s="18" t="n">
        <f aca="false">IFERROR(__xludf.dummyfunction("""COMPUTED_VALUE"""),52.776)</f>
        <v>52.776</v>
      </c>
      <c r="K78" s="21" t="s">
        <v>12</v>
      </c>
      <c r="L78" s="21" t="s">
        <v>12</v>
      </c>
      <c r="M78" s="21" t="s">
        <v>12</v>
      </c>
      <c r="N78" s="18" t="n">
        <f aca="false">IFERROR(__xludf.dummyfunction("""COMPUTED_VALUE"""),52.776)</f>
        <v>52.776</v>
      </c>
      <c r="O78" s="21" t="s">
        <v>12</v>
      </c>
      <c r="P78" s="21" t="s">
        <v>12</v>
      </c>
      <c r="Q78" s="21" t="s">
        <v>12</v>
      </c>
      <c r="R78" s="21" t="s">
        <v>12</v>
      </c>
      <c r="S78" s="21" t="s">
        <v>12</v>
      </c>
      <c r="T78" s="21" t="s">
        <v>12</v>
      </c>
      <c r="U78" s="21" t="s">
        <v>12</v>
      </c>
      <c r="V78" s="21" t="s">
        <v>12</v>
      </c>
      <c r="W78" s="21"/>
    </row>
    <row r="79" customFormat="false" ht="15.75" hidden="false" customHeight="false" outlineLevel="0" collapsed="false">
      <c r="A79" s="20" t="n">
        <f aca="false">IFERROR(__xludf.dummyfunction("""COMPUTED_VALUE"""),46259)</f>
        <v>46259</v>
      </c>
      <c r="B79" s="18" t="n">
        <f aca="false">IFERROR(__xludf.dummyfunction("""COMPUTED_VALUE"""),8008469244)</f>
        <v>8008469244</v>
      </c>
      <c r="C79" s="18" t="str">
        <f aca="false">IFERROR(__xludf.dummyfunction("""COMPUTED_VALUE"""),"Р028ОН32")</f>
        <v>Р028ОН32</v>
      </c>
      <c r="D79" s="18" t="str">
        <f aca="false">IFERROR(__xludf.dummyfunction("""COMPUTED_VALUE"""),"Отгрузка")</f>
        <v>Отгрузка</v>
      </c>
      <c r="E79" s="18" t="str">
        <f aca="false">IFERROR(__xludf.dummyfunction("""COMPUTED_VALUE"""),"Нет")</f>
        <v>Нет</v>
      </c>
      <c r="F79" s="19" t="n">
        <f aca="false">IFERROR(__xludf.dummyfunction("""COMPUTED_VALUE"""),0.618055555554747)</f>
        <v>0.618055555554747</v>
      </c>
      <c r="G79" s="19" t="n">
        <f aca="false">IFERROR(__xludf.dummyfunction("""COMPUTED_VALUE"""),0.625)</f>
        <v>0.625</v>
      </c>
      <c r="H79" s="19" t="n">
        <f aca="false">IFERROR(__xludf.dummyfunction("""COMPUTED_VALUE"""),0.630555555559113)</f>
        <v>0.630555555559113</v>
      </c>
      <c r="I79" s="19" t="n">
        <f aca="false">IFERROR(__xludf.dummyfunction("""COMPUTED_VALUE"""),0.6875)</f>
        <v>0.6875</v>
      </c>
      <c r="J79" s="18" t="n">
        <f aca="false">IFERROR(__xludf.dummyfunction("""COMPUTED_VALUE"""),7.723)</f>
        <v>7.723</v>
      </c>
      <c r="K79" s="18" t="n">
        <f aca="false">IFERROR(__xludf.dummyfunction("""COMPUTED_VALUE"""),0)</f>
        <v>0</v>
      </c>
      <c r="L79" s="18" t="n">
        <f aca="false">IFERROR(__xludf.dummyfunction("""COMPUTED_VALUE"""),0)</f>
        <v>0</v>
      </c>
      <c r="M79" s="18" t="n">
        <f aca="false">IFERROR(__xludf.dummyfunction("""COMPUTED_VALUE"""),0)</f>
        <v>0</v>
      </c>
      <c r="N79" s="18" t="n">
        <f aca="false">IFERROR(__xludf.dummyfunction("""COMPUTED_VALUE"""),7.723)</f>
        <v>7.723</v>
      </c>
      <c r="O79" s="18" t="n">
        <f aca="false">IFERROR(__xludf.dummyfunction("""COMPUTED_VALUE"""),0)</f>
        <v>0</v>
      </c>
      <c r="P79" s="18"/>
      <c r="Q79" s="18"/>
      <c r="R79" s="18" t="n">
        <f aca="false">IFERROR(__xludf.dummyfunction("""COMPUTED_VALUE"""),0)</f>
        <v>0</v>
      </c>
      <c r="S79" s="18" t="n">
        <f aca="false">IFERROR(__xludf.dummyfunction("""COMPUTED_VALUE"""),8008469244)</f>
        <v>8008469244</v>
      </c>
      <c r="T79" s="18" t="n">
        <f aca="false">IFERROR(__xludf.dummyfunction("""COMPUTED_VALUE"""),30994757)</f>
        <v>30994757</v>
      </c>
      <c r="U79" s="18" t="str">
        <f aca="false">IFERROR(__xludf.dummyfunction("""COMPUTED_VALUE"""),"7*2,1*2,2")</f>
        <v>7*2,1*2,2</v>
      </c>
      <c r="V79" s="18" t="str">
        <f aca="false">IFERROR(__xludf.dummyfunction("""COMPUTED_VALUE"""),"Нет")</f>
        <v>Нет</v>
      </c>
    </row>
    <row r="80" customFormat="false" ht="15.75" hidden="false" customHeight="false" outlineLevel="0" collapsed="false">
      <c r="A80" s="20" t="n">
        <f aca="false">IFERROR(__xludf.dummyfunction("""COMPUTED_VALUE"""),46260)</f>
        <v>46260</v>
      </c>
      <c r="B80" s="18" t="str">
        <f aca="false">IFERROR(__xludf.dummyfunction("""COMPUTED_VALUE"""),"8008545002/8008546424")</f>
        <v>8008545002/8008546424</v>
      </c>
      <c r="C80" s="18" t="str">
        <f aca="false">IFERROR(__xludf.dummyfunction("""COMPUTED_VALUE"""),"К574НЕ147")</f>
        <v>К574НЕ147</v>
      </c>
      <c r="D80" s="18" t="str">
        <f aca="false">IFERROR(__xludf.dummyfunction("""COMPUTED_VALUE"""),"Отгрузка")</f>
        <v>Отгрузка</v>
      </c>
      <c r="E80" s="18" t="str">
        <f aca="false">IFERROR(__xludf.dummyfunction("""COMPUTED_VALUE"""),"Нет")</f>
        <v>Нет</v>
      </c>
      <c r="F80" s="19" t="n">
        <f aca="false">IFERROR(__xludf.dummyfunction("""COMPUTED_VALUE"""),0.375)</f>
        <v>0.375</v>
      </c>
      <c r="G80" s="19" t="n">
        <f aca="false">IFERROR(__xludf.dummyfunction("""COMPUTED_VALUE"""),0.383333333331393)</f>
        <v>0.383333333331393</v>
      </c>
      <c r="H80" s="19" t="n">
        <f aca="false">IFERROR(__xludf.dummyfunction("""COMPUTED_VALUE"""),0.384722222224809)</f>
        <v>0.384722222224809</v>
      </c>
      <c r="I80" s="19" t="n">
        <f aca="false">IFERROR(__xludf.dummyfunction("""COMPUTED_VALUE"""),0.416666666664241)</f>
        <v>0.416666666664241</v>
      </c>
      <c r="J80" s="18" t="n">
        <f aca="false">IFERROR(__xludf.dummyfunction("""COMPUTED_VALUE"""),0.637)</f>
        <v>0.637</v>
      </c>
      <c r="K80" s="18" t="n">
        <f aca="false">IFERROR(__xludf.dummyfunction("""COMPUTED_VALUE"""),0)</f>
        <v>0</v>
      </c>
      <c r="L80" s="18" t="n">
        <f aca="false">IFERROR(__xludf.dummyfunction("""COMPUTED_VALUE"""),0)</f>
        <v>0</v>
      </c>
      <c r="M80" s="18" t="n">
        <f aca="false">IFERROR(__xludf.dummyfunction("""COMPUTED_VALUE"""),0)</f>
        <v>0</v>
      </c>
      <c r="N80" s="18" t="n">
        <f aca="false">IFERROR(__xludf.dummyfunction("""COMPUTED_VALUE"""),0.637)</f>
        <v>0.637</v>
      </c>
      <c r="O80" s="18" t="n">
        <f aca="false">IFERROR(__xludf.dummyfunction("""COMPUTED_VALUE"""),0)</f>
        <v>0</v>
      </c>
      <c r="P80" s="18"/>
      <c r="Q80" s="18"/>
      <c r="R80" s="18" t="n">
        <f aca="false">IFERROR(__xludf.dummyfunction("""COMPUTED_VALUE"""),0)</f>
        <v>0</v>
      </c>
      <c r="S80" s="18" t="str">
        <f aca="false">IFERROR(__xludf.dummyfunction("""COMPUTED_VALUE"""),"8008545002/8008546424")</f>
        <v>8008545002/8008546424</v>
      </c>
      <c r="T80" s="18" t="n">
        <f aca="false">IFERROR(__xludf.dummyfunction("""COMPUTED_VALUE"""),30994756)</f>
        <v>30994756</v>
      </c>
      <c r="U80" s="18" t="str">
        <f aca="false">IFERROR(__xludf.dummyfunction("""COMPUTED_VALUE"""),"6*2*2")</f>
        <v>6*2*2</v>
      </c>
      <c r="V80" s="18" t="str">
        <f aca="false">IFERROR(__xludf.dummyfunction("""COMPUTED_VALUE"""),"Нет")</f>
        <v>Нет</v>
      </c>
    </row>
    <row r="81" customFormat="false" ht="15.75" hidden="false" customHeight="false" outlineLevel="0" collapsed="false">
      <c r="A81" s="20" t="n">
        <f aca="false">IFERROR(__xludf.dummyfunction("""COMPUTED_VALUE"""),46260)</f>
        <v>46260</v>
      </c>
      <c r="B81" s="18" t="str">
        <f aca="false">IFERROR(__xludf.dummyfunction("""COMPUTED_VALUE"""),"8008547242/8008547248")</f>
        <v>8008547242/8008547248</v>
      </c>
      <c r="C81" s="18" t="str">
        <f aca="false">IFERROR(__xludf.dummyfunction("""COMPUTED_VALUE"""),"К582ВЕ147/ВК298647")</f>
        <v>К582ВЕ147/ВК298647</v>
      </c>
      <c r="D81" s="18" t="str">
        <f aca="false">IFERROR(__xludf.dummyfunction("""COMPUTED_VALUE"""),"Отгрузка")</f>
        <v>Отгрузка</v>
      </c>
      <c r="E81" s="18" t="str">
        <f aca="false">IFERROR(__xludf.dummyfunction("""COMPUTED_VALUE"""),"Нет")</f>
        <v>Нет</v>
      </c>
      <c r="F81" s="19" t="n">
        <f aca="false">IFERROR(__xludf.dummyfunction("""COMPUTED_VALUE"""),0.375)</f>
        <v>0.375</v>
      </c>
      <c r="G81" s="19" t="n">
        <f aca="false">IFERROR(__xludf.dummyfunction("""COMPUTED_VALUE"""),0.381249999998545)</f>
        <v>0.381249999998545</v>
      </c>
      <c r="H81" s="19" t="n">
        <f aca="false">IFERROR(__xludf.dummyfunction("""COMPUTED_VALUE"""),0.445138888884685)</f>
        <v>0.445138888884685</v>
      </c>
      <c r="I81" s="19" t="n">
        <f aca="false">IFERROR(__xludf.dummyfunction("""COMPUTED_VALUE"""),0.479166666664241)</f>
        <v>0.479166666664241</v>
      </c>
      <c r="J81" s="18" t="n">
        <f aca="false">IFERROR(__xludf.dummyfunction("""COMPUTED_VALUE"""),68.668)</f>
        <v>68.668</v>
      </c>
      <c r="K81" s="18" t="n">
        <f aca="false">IFERROR(__xludf.dummyfunction("""COMPUTED_VALUE"""),0)</f>
        <v>0</v>
      </c>
      <c r="L81" s="18" t="n">
        <f aca="false">IFERROR(__xludf.dummyfunction("""COMPUTED_VALUE"""),0)</f>
        <v>0</v>
      </c>
      <c r="M81" s="18" t="n">
        <f aca="false">IFERROR(__xludf.dummyfunction("""COMPUTED_VALUE"""),0)</f>
        <v>0</v>
      </c>
      <c r="N81" s="18" t="n">
        <f aca="false">IFERROR(__xludf.dummyfunction("""COMPUTED_VALUE"""),68.668)</f>
        <v>68.668</v>
      </c>
      <c r="O81" s="18" t="n">
        <f aca="false">IFERROR(__xludf.dummyfunction("""COMPUTED_VALUE"""),0)</f>
        <v>0</v>
      </c>
      <c r="P81" s="18"/>
      <c r="Q81" s="18"/>
      <c r="R81" s="18" t="n">
        <f aca="false">IFERROR(__xludf.dummyfunction("""COMPUTED_VALUE"""),0)</f>
        <v>0</v>
      </c>
      <c r="S81" s="18" t="str">
        <f aca="false">IFERROR(__xludf.dummyfunction("""COMPUTED_VALUE"""),"8008547242/8008547248")</f>
        <v>8008547242/8008547248</v>
      </c>
      <c r="T81" s="18" t="n">
        <f aca="false">IFERROR(__xludf.dummyfunction("""COMPUTED_VALUE"""),30994780)</f>
        <v>30994780</v>
      </c>
      <c r="U81" s="18" t="str">
        <f aca="false">IFERROR(__xludf.dummyfunction("""COMPUTED_VALUE"""),"13.3*2.45*2.6")</f>
        <v>13.3*2.45*2.6</v>
      </c>
      <c r="V81" s="18" t="str">
        <f aca="false">IFERROR(__xludf.dummyfunction("""COMPUTED_VALUE"""),"Нет")</f>
        <v>Нет</v>
      </c>
    </row>
    <row r="82" customFormat="false" ht="15.75" hidden="false" customHeight="false" outlineLevel="0" collapsed="false">
      <c r="A82" s="20" t="n">
        <f aca="false">IFERROR(__xludf.dummyfunction("""COMPUTED_VALUE"""),46260)</f>
        <v>46260</v>
      </c>
      <c r="B82" s="18" t="n">
        <f aca="false">IFERROR(__xludf.dummyfunction("""COMPUTED_VALUE"""),8008547163)</f>
        <v>8008547163</v>
      </c>
      <c r="C82" s="18" t="str">
        <f aca="false">IFERROR(__xludf.dummyfunction("""COMPUTED_VALUE"""),"О506УУ40/ВН237516")</f>
        <v>О506УУ40/ВН237516</v>
      </c>
      <c r="D82" s="18" t="str">
        <f aca="false">IFERROR(__xludf.dummyfunction("""COMPUTED_VALUE"""),"Отгрузка")</f>
        <v>Отгрузка</v>
      </c>
      <c r="E82" s="18" t="str">
        <f aca="false">IFERROR(__xludf.dummyfunction("""COMPUTED_VALUE"""),"Нет")</f>
        <v>Нет</v>
      </c>
      <c r="F82" s="19" t="n">
        <f aca="false">IFERROR(__xludf.dummyfunction("""COMPUTED_VALUE"""),0.423611111109494)</f>
        <v>0.423611111109494</v>
      </c>
      <c r="G82" s="19" t="n">
        <f aca="false">IFERROR(__xludf.dummyfunction("""COMPUTED_VALUE"""),0.444444444445253)</f>
        <v>0.444444444445253</v>
      </c>
      <c r="H82" s="19" t="n">
        <f aca="false">IFERROR(__xludf.dummyfunction("""COMPUTED_VALUE"""),0.569444444445253)</f>
        <v>0.569444444445253</v>
      </c>
      <c r="I82" s="19" t="n">
        <f aca="false">IFERROR(__xludf.dummyfunction("""COMPUTED_VALUE"""),0.604166666664241)</f>
        <v>0.604166666664241</v>
      </c>
      <c r="J82" s="18" t="n">
        <f aca="false">IFERROR(__xludf.dummyfunction("""COMPUTED_VALUE"""),92.683)</f>
        <v>92.683</v>
      </c>
      <c r="K82" s="18" t="n">
        <f aca="false">IFERROR(__xludf.dummyfunction("""COMPUTED_VALUE"""),0)</f>
        <v>0</v>
      </c>
      <c r="L82" s="18" t="n">
        <f aca="false">IFERROR(__xludf.dummyfunction("""COMPUTED_VALUE"""),0)</f>
        <v>0</v>
      </c>
      <c r="M82" s="18" t="n">
        <f aca="false">IFERROR(__xludf.dummyfunction("""COMPUTED_VALUE"""),0)</f>
        <v>0</v>
      </c>
      <c r="N82" s="18" t="n">
        <f aca="false">IFERROR(__xludf.dummyfunction("""COMPUTED_VALUE"""),92.683)</f>
        <v>92.683</v>
      </c>
      <c r="O82" s="18" t="n">
        <f aca="false">IFERROR(__xludf.dummyfunction("""COMPUTED_VALUE"""),0)</f>
        <v>0</v>
      </c>
      <c r="P82" s="18"/>
      <c r="Q82" s="18"/>
      <c r="R82" s="18" t="n">
        <f aca="false">IFERROR(__xludf.dummyfunction("""COMPUTED_VALUE"""),0)</f>
        <v>0</v>
      </c>
      <c r="S82" s="18" t="n">
        <f aca="false">IFERROR(__xludf.dummyfunction("""COMPUTED_VALUE"""),8008547163)</f>
        <v>8008547163</v>
      </c>
      <c r="T82" s="18" t="n">
        <f aca="false">IFERROR(__xludf.dummyfunction("""COMPUTED_VALUE"""),30994741)</f>
        <v>30994741</v>
      </c>
      <c r="U82" s="18" t="str">
        <f aca="false">IFERROR(__xludf.dummyfunction("""COMPUTED_VALUE"""),"16,02*2,5*2,7")</f>
        <v>16,02*2,5*2,7</v>
      </c>
      <c r="V82" s="18" t="str">
        <f aca="false">IFERROR(__xludf.dummyfunction("""COMPUTED_VALUE"""),"Нет")</f>
        <v>Нет</v>
      </c>
    </row>
    <row r="83" customFormat="false" ht="15.75" hidden="false" customHeight="false" outlineLevel="0" collapsed="false">
      <c r="A83" s="20" t="n">
        <f aca="false">IFERROR(__xludf.dummyfunction("""COMPUTED_VALUE"""),46261)</f>
        <v>46261</v>
      </c>
      <c r="B83" s="18" t="str">
        <f aca="false">IFERROR(__xludf.dummyfunction("""COMPUTED_VALUE"""),"8008547052/8008547155/8008550526")</f>
        <v>8008547052/8008547155/8008550526</v>
      </c>
      <c r="C83" s="18" t="str">
        <f aca="false">IFERROR(__xludf.dummyfunction("""COMPUTED_VALUE"""),"C156ТМ147")</f>
        <v>C156ТМ147</v>
      </c>
      <c r="D83" s="18" t="str">
        <f aca="false">IFERROR(__xludf.dummyfunction("""COMPUTED_VALUE"""),"Отгрузка")</f>
        <v>Отгрузка</v>
      </c>
      <c r="E83" s="18" t="str">
        <f aca="false">IFERROR(__xludf.dummyfunction("""COMPUTED_VALUE"""),"Нет")</f>
        <v>Нет</v>
      </c>
      <c r="F83" s="19" t="n">
        <f aca="false">IFERROR(__xludf.dummyfunction("""COMPUTED_VALUE"""),0.375)</f>
        <v>0.375</v>
      </c>
      <c r="G83" s="19" t="n">
        <f aca="false">IFERROR(__xludf.dummyfunction("""COMPUTED_VALUE"""),0.392361111109494)</f>
        <v>0.392361111109494</v>
      </c>
      <c r="H83" s="19" t="n">
        <f aca="false">IFERROR(__xludf.dummyfunction("""COMPUTED_VALUE"""),0.395833333335759)</f>
        <v>0.395833333335759</v>
      </c>
      <c r="I83" s="19" t="n">
        <f aca="false">IFERROR(__xludf.dummyfunction("""COMPUTED_VALUE"""),0.4375)</f>
        <v>0.4375</v>
      </c>
      <c r="J83" s="18" t="n">
        <f aca="false">IFERROR(__xludf.dummyfunction("""COMPUTED_VALUE"""),4.092)</f>
        <v>4.092</v>
      </c>
      <c r="K83" s="18" t="n">
        <f aca="false">IFERROR(__xludf.dummyfunction("""COMPUTED_VALUE"""),0)</f>
        <v>0</v>
      </c>
      <c r="L83" s="18" t="n">
        <f aca="false">IFERROR(__xludf.dummyfunction("""COMPUTED_VALUE"""),0)</f>
        <v>0</v>
      </c>
      <c r="M83" s="18" t="n">
        <f aca="false">IFERROR(__xludf.dummyfunction("""COMPUTED_VALUE"""),0)</f>
        <v>0</v>
      </c>
      <c r="N83" s="18" t="n">
        <f aca="false">IFERROR(__xludf.dummyfunction("""COMPUTED_VALUE"""),4.092)</f>
        <v>4.092</v>
      </c>
      <c r="O83" s="18" t="n">
        <f aca="false">IFERROR(__xludf.dummyfunction("""COMPUTED_VALUE"""),0)</f>
        <v>0</v>
      </c>
      <c r="P83" s="18"/>
      <c r="Q83" s="18"/>
      <c r="R83" s="18" t="n">
        <f aca="false">IFERROR(__xludf.dummyfunction("""COMPUTED_VALUE"""),0)</f>
        <v>0</v>
      </c>
      <c r="S83" s="18" t="str">
        <f aca="false">IFERROR(__xludf.dummyfunction("""COMPUTED_VALUE"""),"8008547052/8008547155/8008550526")</f>
        <v>8008547052/8008547155/8008550526</v>
      </c>
      <c r="T83" s="18" t="n">
        <f aca="false">IFERROR(__xludf.dummyfunction("""COMPUTED_VALUE"""),30994743)</f>
        <v>30994743</v>
      </c>
      <c r="U83" s="18" t="str">
        <f aca="false">IFERROR(__xludf.dummyfunction("""COMPUTED_VALUE"""),"4,2*2,1*2,1")</f>
        <v>4,2*2,1*2,1</v>
      </c>
      <c r="V83" s="18" t="str">
        <f aca="false">IFERROR(__xludf.dummyfunction("""COMPUTED_VALUE"""),"Нет")</f>
        <v>Нет</v>
      </c>
    </row>
    <row r="84" customFormat="false" ht="15.75" hidden="false" customHeight="false" outlineLevel="0" collapsed="false">
      <c r="A84" s="20" t="n">
        <f aca="false">IFERROR(__xludf.dummyfunction("""COMPUTED_VALUE"""),46261)</f>
        <v>46261</v>
      </c>
      <c r="B84" s="18" t="str">
        <f aca="false">IFERROR(__xludf.dummyfunction("""COMPUTED_VALUE"""),"8008550754/8008550805")</f>
        <v>8008550754/8008550805</v>
      </c>
      <c r="C84" s="18" t="str">
        <f aca="false">IFERROR(__xludf.dummyfunction("""COMPUTED_VALUE"""),"К582ВЕ147/ВК298647")</f>
        <v>К582ВЕ147/ВК298647</v>
      </c>
      <c r="D84" s="18" t="str">
        <f aca="false">IFERROR(__xludf.dummyfunction("""COMPUTED_VALUE"""),"Приёмка")</f>
        <v>Приёмка</v>
      </c>
      <c r="E84" s="18" t="str">
        <f aca="false">IFERROR(__xludf.dummyfunction("""COMPUTED_VALUE"""),"Нет")</f>
        <v>Нет</v>
      </c>
      <c r="F84" s="19" t="n">
        <f aca="false">IFERROR(__xludf.dummyfunction("""COMPUTED_VALUE"""),0.375)</f>
        <v>0.375</v>
      </c>
      <c r="G84" s="19" t="n">
        <f aca="false">IFERROR(__xludf.dummyfunction("""COMPUTED_VALUE"""),0.388888888890506)</f>
        <v>0.388888888890506</v>
      </c>
      <c r="H84" s="19" t="n">
        <f aca="false">IFERROR(__xludf.dummyfunction("""COMPUTED_VALUE"""),0.416666666664241)</f>
        <v>0.416666666664241</v>
      </c>
      <c r="I84" s="19" t="n">
        <f aca="false">IFERROR(__xludf.dummyfunction("""COMPUTED_VALUE"""),0.4375)</f>
        <v>0.4375</v>
      </c>
      <c r="J84" s="18" t="n">
        <f aca="false">IFERROR(__xludf.dummyfunction("""COMPUTED_VALUE"""),55.614)</f>
        <v>55.614</v>
      </c>
      <c r="K84" s="18" t="n">
        <f aca="false">IFERROR(__xludf.dummyfunction("""COMPUTED_VALUE"""),0)</f>
        <v>0</v>
      </c>
      <c r="L84" s="18" t="n">
        <f aca="false">IFERROR(__xludf.dummyfunction("""COMPUTED_VALUE"""),55.614)</f>
        <v>55.614</v>
      </c>
      <c r="M84" s="18" t="n">
        <f aca="false">IFERROR(__xludf.dummyfunction("""COMPUTED_VALUE"""),0)</f>
        <v>0</v>
      </c>
      <c r="N84" s="18" t="n">
        <f aca="false">IFERROR(__xludf.dummyfunction("""COMPUTED_VALUE"""),0)</f>
        <v>0</v>
      </c>
      <c r="O84" s="18" t="n">
        <f aca="false">IFERROR(__xludf.dummyfunction("""COMPUTED_VALUE"""),0)</f>
        <v>0</v>
      </c>
      <c r="P84" s="18" t="str">
        <f aca="false">IFERROR(__xludf.dummyfunction("""COMPUTED_VALUE"""),"Без нареканий")</f>
        <v>Без нареканий</v>
      </c>
      <c r="Q84" s="18"/>
      <c r="R84" s="18" t="str">
        <f aca="false">IFERROR(__xludf.dummyfunction("""COMPUTED_VALUE"""),"8008550754/8008550805")</f>
        <v>8008550754/8008550805</v>
      </c>
      <c r="S84" s="18" t="n">
        <f aca="false">IFERROR(__xludf.dummyfunction("""COMPUTED_VALUE"""),0)</f>
        <v>0</v>
      </c>
      <c r="T84" s="18" t="n">
        <f aca="false">IFERROR(__xludf.dummyfunction("""COMPUTED_VALUE"""),0)</f>
        <v>0</v>
      </c>
      <c r="U84" s="18" t="str">
        <f aca="false">IFERROR(__xludf.dummyfunction("""COMPUTED_VALUE"""),"13,6*2,45*2,7")</f>
        <v>13,6*2,45*2,7</v>
      </c>
      <c r="V84" s="18" t="str">
        <f aca="false">IFERROR(__xludf.dummyfunction("""COMPUTED_VALUE"""),"Нет")</f>
        <v>Нет</v>
      </c>
    </row>
    <row r="85" customFormat="false" ht="15.75" hidden="false" customHeight="false" outlineLevel="0" collapsed="false">
      <c r="A85" s="20" t="n">
        <f aca="false">IFERROR(__xludf.dummyfunction("""COMPUTED_VALUE"""),46261)</f>
        <v>46261</v>
      </c>
      <c r="B85" s="18" t="str">
        <f aca="false">IFERROR(__xludf.dummyfunction("""COMPUTED_VALUE"""),"8008547986/8008548011")</f>
        <v>8008547986/8008548011</v>
      </c>
      <c r="C85" s="18" t="str">
        <f aca="false">IFERROR(__xludf.dummyfunction("""COMPUTED_VALUE"""),"К106УР178")</f>
        <v>К106УР178</v>
      </c>
      <c r="D85" s="18" t="str">
        <f aca="false">IFERROR(__xludf.dummyfunction("""COMPUTED_VALUE"""),"Отгрузка")</f>
        <v>Отгрузка</v>
      </c>
      <c r="E85" s="18" t="str">
        <f aca="false">IFERROR(__xludf.dummyfunction("""COMPUTED_VALUE"""),"Нет")</f>
        <v>Нет</v>
      </c>
      <c r="F85" s="19" t="n">
        <f aca="false">IFERROR(__xludf.dummyfunction("""COMPUTED_VALUE"""),0.520833333335759)</f>
        <v>0.520833333335759</v>
      </c>
      <c r="G85" s="19" t="n">
        <f aca="false">IFERROR(__xludf.dummyfunction("""COMPUTED_VALUE"""),0.547222222223354)</f>
        <v>0.547222222223354</v>
      </c>
      <c r="H85" s="19" t="n">
        <f aca="false">IFERROR(__xludf.dummyfunction("""COMPUTED_VALUE"""),0.552083333335759)</f>
        <v>0.552083333335759</v>
      </c>
      <c r="I85" s="19" t="n">
        <f aca="false">IFERROR(__xludf.dummyfunction("""COMPUTED_VALUE"""),0.583333333335759)</f>
        <v>0.583333333335759</v>
      </c>
      <c r="J85" s="18" t="n">
        <f aca="false">IFERROR(__xludf.dummyfunction("""COMPUTED_VALUE"""),3.979)</f>
        <v>3.979</v>
      </c>
      <c r="K85" s="18" t="n">
        <f aca="false">IFERROR(__xludf.dummyfunction("""COMPUTED_VALUE"""),0)</f>
        <v>0</v>
      </c>
      <c r="L85" s="18" t="n">
        <f aca="false">IFERROR(__xludf.dummyfunction("""COMPUTED_VALUE"""),0)</f>
        <v>0</v>
      </c>
      <c r="M85" s="18" t="n">
        <f aca="false">IFERROR(__xludf.dummyfunction("""COMPUTED_VALUE"""),0)</f>
        <v>0</v>
      </c>
      <c r="N85" s="18" t="n">
        <f aca="false">IFERROR(__xludf.dummyfunction("""COMPUTED_VALUE"""),3.979)</f>
        <v>3.979</v>
      </c>
      <c r="O85" s="18" t="n">
        <f aca="false">IFERROR(__xludf.dummyfunction("""COMPUTED_VALUE"""),0)</f>
        <v>0</v>
      </c>
      <c r="P85" s="18"/>
      <c r="Q85" s="18"/>
      <c r="R85" s="18" t="n">
        <f aca="false">IFERROR(__xludf.dummyfunction("""COMPUTED_VALUE"""),0)</f>
        <v>0</v>
      </c>
      <c r="S85" s="18" t="str">
        <f aca="false">IFERROR(__xludf.dummyfunction("""COMPUTED_VALUE"""),"8008547986/8008548011")</f>
        <v>8008547986/8008548011</v>
      </c>
      <c r="T85" s="18" t="n">
        <f aca="false">IFERROR(__xludf.dummyfunction("""COMPUTED_VALUE"""),30994769)</f>
        <v>30994769</v>
      </c>
      <c r="U85" s="18" t="str">
        <f aca="false">IFERROR(__xludf.dummyfunction("""COMPUTED_VALUE"""),"3,3*1,6*1,8")</f>
        <v>3,3*1,6*1,8</v>
      </c>
      <c r="V85" s="18" t="str">
        <f aca="false">IFERROR(__xludf.dummyfunction("""COMPUTED_VALUE"""),"Нет")</f>
        <v>Нет</v>
      </c>
    </row>
    <row r="86" customFormat="false" ht="15.75" hidden="false" customHeight="false" outlineLevel="0" collapsed="false">
      <c r="A86" s="20" t="n">
        <f aca="false">IFERROR(__xludf.dummyfunction("""COMPUTED_VALUE"""),46262)</f>
        <v>46262</v>
      </c>
      <c r="B86" s="18" t="n">
        <f aca="false">IFERROR(__xludf.dummyfunction("""COMPUTED_VALUE"""),8008550492)</f>
        <v>8008550492</v>
      </c>
      <c r="C86" s="18" t="str">
        <f aca="false">IFERROR(__xludf.dummyfunction("""COMPUTED_VALUE"""),"М256ОК763/ВР823363")</f>
        <v>М256ОК763/ВР823363</v>
      </c>
      <c r="D86" s="18" t="str">
        <f aca="false">IFERROR(__xludf.dummyfunction("""COMPUTED_VALUE"""),"Отгрузка")</f>
        <v>Отгрузка</v>
      </c>
      <c r="E86" s="18" t="str">
        <f aca="false">IFERROR(__xludf.dummyfunction("""COMPUTED_VALUE"""),"Нет")</f>
        <v>Нет</v>
      </c>
      <c r="F86" s="19" t="n">
        <f aca="false">IFERROR(__xludf.dummyfunction("""COMPUTED_VALUE"""),0.375)</f>
        <v>0.375</v>
      </c>
      <c r="G86" s="19" t="n">
        <f aca="false">IFERROR(__xludf.dummyfunction("""COMPUTED_VALUE"""),0.409722222218988)</f>
        <v>0.409722222218988</v>
      </c>
      <c r="H86" s="19" t="n">
        <f aca="false">IFERROR(__xludf.dummyfunction("""COMPUTED_VALUE"""),0.451388888890506)</f>
        <v>0.451388888890506</v>
      </c>
      <c r="I86" s="19" t="n">
        <f aca="false">IFERROR(__xludf.dummyfunction("""COMPUTED_VALUE"""),0.479166666664241)</f>
        <v>0.479166666664241</v>
      </c>
      <c r="J86" s="18" t="n">
        <f aca="false">IFERROR(__xludf.dummyfunction("""COMPUTED_VALUE"""),21.548)</f>
        <v>21.548</v>
      </c>
      <c r="K86" s="18" t="n">
        <f aca="false">IFERROR(__xludf.dummyfunction("""COMPUTED_VALUE"""),0)</f>
        <v>0</v>
      </c>
      <c r="L86" s="18" t="n">
        <f aca="false">IFERROR(__xludf.dummyfunction("""COMPUTED_VALUE"""),0)</f>
        <v>0</v>
      </c>
      <c r="M86" s="18" t="n">
        <f aca="false">IFERROR(__xludf.dummyfunction("""COMPUTED_VALUE"""),0)</f>
        <v>0</v>
      </c>
      <c r="N86" s="18" t="n">
        <f aca="false">IFERROR(__xludf.dummyfunction("""COMPUTED_VALUE"""),21.548)</f>
        <v>21.548</v>
      </c>
      <c r="O86" s="18" t="n">
        <f aca="false">IFERROR(__xludf.dummyfunction("""COMPUTED_VALUE"""),0)</f>
        <v>0</v>
      </c>
      <c r="P86" s="18"/>
      <c r="Q86" s="18"/>
      <c r="R86" s="18" t="n">
        <f aca="false">IFERROR(__xludf.dummyfunction("""COMPUTED_VALUE"""),0)</f>
        <v>0</v>
      </c>
      <c r="S86" s="18" t="n">
        <f aca="false">IFERROR(__xludf.dummyfunction("""COMPUTED_VALUE"""),8008550492)</f>
        <v>8008550492</v>
      </c>
      <c r="T86" s="18" t="n">
        <f aca="false">IFERROR(__xludf.dummyfunction("""COMPUTED_VALUE"""),30994770)</f>
        <v>30994770</v>
      </c>
      <c r="U86" s="18" t="str">
        <f aca="false">IFERROR(__xludf.dummyfunction("""COMPUTED_VALUE"""),"3*2,4*2,7")</f>
        <v>3*2,4*2,7</v>
      </c>
      <c r="V86" s="18" t="str">
        <f aca="false">IFERROR(__xludf.dummyfunction("""COMPUTED_VALUE"""),"Нет")</f>
        <v>Нет</v>
      </c>
    </row>
    <row r="87" customFormat="false" ht="15.75" hidden="false" customHeight="false" outlineLevel="0" collapsed="false">
      <c r="A87" s="20" t="n">
        <f aca="false">IFERROR(__xludf.dummyfunction("""COMPUTED_VALUE"""),46262)</f>
        <v>46262</v>
      </c>
      <c r="B87" s="18" t="str">
        <f aca="false">IFERROR(__xludf.dummyfunction("""COMPUTED_VALUE"""),"8008552215/8008552247/8008553573/8008553576/8008554471")</f>
        <v>8008552215/8008552247/8008553573/8008553576/8008554471</v>
      </c>
      <c r="C87" s="18" t="str">
        <f aca="false">IFERROR(__xludf.dummyfunction("""COMPUTED_VALUE"""),"В171ВУ178/АН754647")</f>
        <v>В171ВУ178/АН754647</v>
      </c>
      <c r="D87" s="18" t="str">
        <f aca="false">IFERROR(__xludf.dummyfunction("""COMPUTED_VALUE"""),"Отгрузка")</f>
        <v>Отгрузка</v>
      </c>
      <c r="E87" s="18" t="str">
        <f aca="false">IFERROR(__xludf.dummyfunction("""COMPUTED_VALUE"""),"Нет")</f>
        <v>Нет</v>
      </c>
      <c r="F87" s="19" t="n">
        <f aca="false">IFERROR(__xludf.dummyfunction("""COMPUTED_VALUE"""),0.381944444445253)</f>
        <v>0.381944444445253</v>
      </c>
      <c r="G87" s="19" t="n">
        <f aca="false">IFERROR(__xludf.dummyfunction("""COMPUTED_VALUE"""),0.413194444445253)</f>
        <v>0.413194444445253</v>
      </c>
      <c r="H87" s="19" t="n">
        <f aca="false">IFERROR(__xludf.dummyfunction("""COMPUTED_VALUE"""),0.466666666667152)</f>
        <v>0.466666666667152</v>
      </c>
      <c r="I87" s="19" t="n">
        <f aca="false">IFERROR(__xludf.dummyfunction("""COMPUTED_VALUE"""),0.520833333335759)</f>
        <v>0.520833333335759</v>
      </c>
      <c r="J87" s="18" t="n">
        <f aca="false">IFERROR(__xludf.dummyfunction("""COMPUTED_VALUE"""),65.559)</f>
        <v>65.559</v>
      </c>
      <c r="K87" s="18" t="n">
        <f aca="false">IFERROR(__xludf.dummyfunction("""COMPUTED_VALUE"""),0)</f>
        <v>0</v>
      </c>
      <c r="L87" s="18" t="n">
        <f aca="false">IFERROR(__xludf.dummyfunction("""COMPUTED_VALUE"""),0)</f>
        <v>0</v>
      </c>
      <c r="M87" s="18" t="n">
        <f aca="false">IFERROR(__xludf.dummyfunction("""COMPUTED_VALUE"""),0)</f>
        <v>0</v>
      </c>
      <c r="N87" s="18" t="n">
        <f aca="false">IFERROR(__xludf.dummyfunction("""COMPUTED_VALUE"""),65.559)</f>
        <v>65.559</v>
      </c>
      <c r="O87" s="18" t="n">
        <f aca="false">IFERROR(__xludf.dummyfunction("""COMPUTED_VALUE"""),0)</f>
        <v>0</v>
      </c>
      <c r="P87" s="18"/>
      <c r="Q87" s="18"/>
      <c r="R87" s="18" t="n">
        <f aca="false">IFERROR(__xludf.dummyfunction("""COMPUTED_VALUE"""),0)</f>
        <v>0</v>
      </c>
      <c r="S87" s="18" t="str">
        <f aca="false">IFERROR(__xludf.dummyfunction("""COMPUTED_VALUE"""),"8008552215/8008552247/8008553573/8008553576/8008554471")</f>
        <v>8008552215/8008552247/8008553573/8008553576/8008554471</v>
      </c>
      <c r="T87" s="18" t="n">
        <f aca="false">IFERROR(__xludf.dummyfunction("""COMPUTED_VALUE"""),30994744)</f>
        <v>30994744</v>
      </c>
      <c r="U87" s="18" t="str">
        <f aca="false">IFERROR(__xludf.dummyfunction("""COMPUTED_VALUE"""),"13,6*2,5*2,7")</f>
        <v>13,6*2,5*2,7</v>
      </c>
      <c r="V87" s="18" t="str">
        <f aca="false">IFERROR(__xludf.dummyfunction("""COMPUTED_VALUE"""),"Нет")</f>
        <v>Нет</v>
      </c>
    </row>
    <row r="88" customFormat="false" ht="15.75" hidden="false" customHeight="false" outlineLevel="0" collapsed="false">
      <c r="A88" s="20" t="n">
        <f aca="false">IFERROR(__xludf.dummyfunction("""COMPUTED_VALUE"""),46262)</f>
        <v>46262</v>
      </c>
      <c r="B88" s="18" t="str">
        <f aca="false">IFERROR(__xludf.dummyfunction("""COMPUTED_VALUE"""),"8008540620/8008540659/8008540668/8008552511")</f>
        <v>8008540620/8008540659/8008540668/8008552511</v>
      </c>
      <c r="C88" s="18" t="str">
        <f aca="false">IFERROR(__xludf.dummyfunction("""COMPUTED_VALUE"""),"Т295АМ39")</f>
        <v>Т295АМ39</v>
      </c>
      <c r="D88" s="18" t="str">
        <f aca="false">IFERROR(__xludf.dummyfunction("""COMPUTED_VALUE"""),"Отгрузка")</f>
        <v>Отгрузка</v>
      </c>
      <c r="E88" s="18" t="str">
        <f aca="false">IFERROR(__xludf.dummyfunction("""COMPUTED_VALUE"""),"Нет")</f>
        <v>Нет</v>
      </c>
      <c r="F88" s="19" t="n">
        <f aca="false">IFERROR(__xludf.dummyfunction("""COMPUTED_VALUE"""),0.604166666664241)</f>
        <v>0.604166666664241</v>
      </c>
      <c r="G88" s="19" t="n">
        <f aca="false">IFERROR(__xludf.dummyfunction("""COMPUTED_VALUE"""),0.638888888890506)</f>
        <v>0.638888888890506</v>
      </c>
      <c r="H88" s="19" t="n">
        <f aca="false">IFERROR(__xludf.dummyfunction("""COMPUTED_VALUE"""),0.661111111112405)</f>
        <v>0.661111111112405</v>
      </c>
      <c r="I88" s="19" t="n">
        <f aca="false">IFERROR(__xludf.dummyfunction("""COMPUTED_VALUE"""),0.708333333335759)</f>
        <v>0.708333333335759</v>
      </c>
      <c r="J88" s="18" t="n">
        <f aca="false">IFERROR(__xludf.dummyfunction("""COMPUTED_VALUE"""),32.649)</f>
        <v>32.649</v>
      </c>
      <c r="K88" s="18" t="n">
        <f aca="false">IFERROR(__xludf.dummyfunction("""COMPUTED_VALUE"""),0)</f>
        <v>0</v>
      </c>
      <c r="L88" s="18" t="n">
        <f aca="false">IFERROR(__xludf.dummyfunction("""COMPUTED_VALUE"""),0)</f>
        <v>0</v>
      </c>
      <c r="M88" s="18" t="n">
        <f aca="false">IFERROR(__xludf.dummyfunction("""COMPUTED_VALUE"""),0)</f>
        <v>0</v>
      </c>
      <c r="N88" s="18" t="n">
        <f aca="false">IFERROR(__xludf.dummyfunction("""COMPUTED_VALUE"""),32.649)</f>
        <v>32.649</v>
      </c>
      <c r="O88" s="18" t="n">
        <f aca="false">IFERROR(__xludf.dummyfunction("""COMPUTED_VALUE"""),0)</f>
        <v>0</v>
      </c>
      <c r="P88" s="18"/>
      <c r="Q88" s="18"/>
      <c r="R88" s="18" t="n">
        <f aca="false">IFERROR(__xludf.dummyfunction("""COMPUTED_VALUE"""),0)</f>
        <v>0</v>
      </c>
      <c r="S88" s="18" t="str">
        <f aca="false">IFERROR(__xludf.dummyfunction("""COMPUTED_VALUE"""),"8008540620/8008540659/8008540668/8008552511")</f>
        <v>8008540620/8008540659/8008540668/8008552511</v>
      </c>
      <c r="T88" s="18" t="n">
        <f aca="false">IFERROR(__xludf.dummyfunction("""COMPUTED_VALUE"""),30994763)</f>
        <v>30994763</v>
      </c>
      <c r="U88" s="18" t="str">
        <f aca="false">IFERROR(__xludf.dummyfunction("""COMPUTED_VALUE"""),"7.2*2.4*2.5")</f>
        <v>7.2*2.4*2.5</v>
      </c>
      <c r="V88" s="18" t="str">
        <f aca="false">IFERROR(__xludf.dummyfunction("""COMPUTED_VALUE"""),"Нет")</f>
        <v>Нет</v>
      </c>
    </row>
    <row r="89" customFormat="false" ht="15.75" hidden="false" customHeight="false" outlineLevel="0" collapsed="false">
      <c r="A89" s="20" t="n">
        <f aca="false">IFERROR(__xludf.dummyfunction("""COMPUTED_VALUE"""),46265)</f>
        <v>46265</v>
      </c>
      <c r="B89" s="18" t="n">
        <f aca="false">IFERROR(__xludf.dummyfunction("""COMPUTED_VALUE"""),8008550297)</f>
        <v>8008550297</v>
      </c>
      <c r="C89" s="18" t="str">
        <f aca="false">IFERROR(__xludf.dummyfunction("""COMPUTED_VALUE"""),"Р552ВО198")</f>
        <v>Р552ВО198</v>
      </c>
      <c r="D89" s="18" t="str">
        <f aca="false">IFERROR(__xludf.dummyfunction("""COMPUTED_VALUE"""),"Отгрузка")</f>
        <v>Отгрузка</v>
      </c>
      <c r="E89" s="18" t="str">
        <f aca="false">IFERROR(__xludf.dummyfunction("""COMPUTED_VALUE"""),"Нет")</f>
        <v>Нет</v>
      </c>
      <c r="F89" s="19" t="n">
        <f aca="false">IFERROR(__xludf.dummyfunction("""COMPUTED_VALUE"""),0.375)</f>
        <v>0.375</v>
      </c>
      <c r="G89" s="19" t="n">
        <f aca="false">IFERROR(__xludf.dummyfunction("""COMPUTED_VALUE"""),0.395833333335759)</f>
        <v>0.395833333335759</v>
      </c>
      <c r="H89" s="19" t="n">
        <f aca="false">IFERROR(__xludf.dummyfunction("""COMPUTED_VALUE"""),0.416666666664241)</f>
        <v>0.416666666664241</v>
      </c>
      <c r="I89" s="19" t="n">
        <f aca="false">IFERROR(__xludf.dummyfunction("""COMPUTED_VALUE"""),0.458333333335759)</f>
        <v>0.458333333335759</v>
      </c>
      <c r="J89" s="18" t="n">
        <f aca="false">IFERROR(__xludf.dummyfunction("""COMPUTED_VALUE"""),27.377)</f>
        <v>27.377</v>
      </c>
      <c r="K89" s="18" t="n">
        <f aca="false">IFERROR(__xludf.dummyfunction("""COMPUTED_VALUE"""),0)</f>
        <v>0</v>
      </c>
      <c r="L89" s="18" t="n">
        <f aca="false">IFERROR(__xludf.dummyfunction("""COMPUTED_VALUE"""),0)</f>
        <v>0</v>
      </c>
      <c r="M89" s="18" t="n">
        <f aca="false">IFERROR(__xludf.dummyfunction("""COMPUTED_VALUE"""),0)</f>
        <v>0</v>
      </c>
      <c r="N89" s="18" t="n">
        <f aca="false">IFERROR(__xludf.dummyfunction("""COMPUTED_VALUE"""),27.377)</f>
        <v>27.377</v>
      </c>
      <c r="O89" s="18" t="n">
        <f aca="false">IFERROR(__xludf.dummyfunction("""COMPUTED_VALUE"""),0)</f>
        <v>0</v>
      </c>
      <c r="P89" s="18"/>
      <c r="Q89" s="18"/>
      <c r="R89" s="18" t="n">
        <f aca="false">IFERROR(__xludf.dummyfunction("""COMPUTED_VALUE"""),0)</f>
        <v>0</v>
      </c>
      <c r="S89" s="18" t="n">
        <f aca="false">IFERROR(__xludf.dummyfunction("""COMPUTED_VALUE"""),8008550297)</f>
        <v>8008550297</v>
      </c>
      <c r="T89" s="18" t="n">
        <f aca="false">IFERROR(__xludf.dummyfunction("""COMPUTED_VALUE"""),30994755)</f>
        <v>30994755</v>
      </c>
      <c r="U89" s="18" t="str">
        <f aca="false">IFERROR(__xludf.dummyfunction("""COMPUTED_VALUE"""),"7,4*2,4*2,7")</f>
        <v>7,4*2,4*2,7</v>
      </c>
      <c r="V89" s="18" t="str">
        <f aca="false">IFERROR(__xludf.dummyfunction("""COMPUTED_VALUE"""),"Нет")</f>
        <v>Нет</v>
      </c>
    </row>
    <row r="90" customFormat="false" ht="15.75" hidden="false" customHeight="false" outlineLevel="0" collapsed="false">
      <c r="A90" s="20" t="n">
        <f aca="false">IFERROR(__xludf.dummyfunction("""COMPUTED_VALUE"""),46265)</f>
        <v>46265</v>
      </c>
      <c r="B90" s="18" t="str">
        <f aca="false">IFERROR(__xludf.dummyfunction("""COMPUTED_VALUE"""),"8008544629/8008547193/8008547232/8008548428/8008554022/8008557482")</f>
        <v>8008544629/8008547193/8008547232/8008548428/8008554022/8008557482</v>
      </c>
      <c r="C90" s="18" t="str">
        <f aca="false">IFERROR(__xludf.dummyfunction("""COMPUTED_VALUE"""),"К941АС53")</f>
        <v>К941АС53</v>
      </c>
      <c r="D90" s="18" t="str">
        <f aca="false">IFERROR(__xludf.dummyfunction("""COMPUTED_VALUE"""),"Отгрузка")</f>
        <v>Отгрузка</v>
      </c>
      <c r="E90" s="18" t="str">
        <f aca="false">IFERROR(__xludf.dummyfunction("""COMPUTED_VALUE"""),"Нет")</f>
        <v>Нет</v>
      </c>
      <c r="F90" s="19" t="n">
        <f aca="false">IFERROR(__xludf.dummyfunction("""COMPUTED_VALUE"""),0.375)</f>
        <v>0.375</v>
      </c>
      <c r="G90" s="19" t="n">
        <f aca="false">IFERROR(__xludf.dummyfunction("""COMPUTED_VALUE"""),0.399305555554747)</f>
        <v>0.399305555554747</v>
      </c>
      <c r="H90" s="19" t="n">
        <f aca="false">IFERROR(__xludf.dummyfunction("""COMPUTED_VALUE"""),0.40625)</f>
        <v>0.40625</v>
      </c>
      <c r="I90" s="19" t="n">
        <f aca="false">IFERROR(__xludf.dummyfunction("""COMPUTED_VALUE"""),0.458333333335759)</f>
        <v>0.458333333335759</v>
      </c>
      <c r="J90" s="18" t="n">
        <f aca="false">IFERROR(__xludf.dummyfunction("""COMPUTED_VALUE"""),7.056)</f>
        <v>7.056</v>
      </c>
      <c r="K90" s="18" t="n">
        <f aca="false">IFERROR(__xludf.dummyfunction("""COMPUTED_VALUE"""),0)</f>
        <v>0</v>
      </c>
      <c r="L90" s="18" t="n">
        <f aca="false">IFERROR(__xludf.dummyfunction("""COMPUTED_VALUE"""),0)</f>
        <v>0</v>
      </c>
      <c r="M90" s="18" t="n">
        <f aca="false">IFERROR(__xludf.dummyfunction("""COMPUTED_VALUE"""),0)</f>
        <v>0</v>
      </c>
      <c r="N90" s="18" t="n">
        <f aca="false">IFERROR(__xludf.dummyfunction("""COMPUTED_VALUE"""),7.056)</f>
        <v>7.056</v>
      </c>
      <c r="O90" s="18" t="n">
        <f aca="false">IFERROR(__xludf.dummyfunction("""COMPUTED_VALUE"""),0)</f>
        <v>0</v>
      </c>
      <c r="P90" s="18"/>
      <c r="Q90" s="18"/>
      <c r="R90" s="18" t="n">
        <f aca="false">IFERROR(__xludf.dummyfunction("""COMPUTED_VALUE"""),0)</f>
        <v>0</v>
      </c>
      <c r="S90" s="18" t="str">
        <f aca="false">IFERROR(__xludf.dummyfunction("""COMPUTED_VALUE"""),"8008544629/8008547193/8008547232/8008548428/8008554022/8008557482")</f>
        <v>8008544629/8008547193/8008547232/8008548428/8008554022/8008557482</v>
      </c>
      <c r="T90" s="18" t="n">
        <f aca="false">IFERROR(__xludf.dummyfunction("""COMPUTED_VALUE"""),30994748)</f>
        <v>30994748</v>
      </c>
      <c r="U90" s="18" t="str">
        <f aca="false">IFERROR(__xludf.dummyfunction("""COMPUTED_VALUE"""),"4*2*2,2")</f>
        <v>4*2*2,2</v>
      </c>
      <c r="V90" s="18" t="str">
        <f aca="false">IFERROR(__xludf.dummyfunction("""COMPUTED_VALUE"""),"Нет")</f>
        <v>Нет</v>
      </c>
    </row>
    <row r="91" customFormat="false" ht="15.75" hidden="false" customHeight="false" outlineLevel="0" collapsed="false">
      <c r="A91" s="20" t="n">
        <f aca="false">IFERROR(__xludf.dummyfunction("""COMPUTED_VALUE"""),46265)</f>
        <v>46265</v>
      </c>
      <c r="B91" s="18" t="n">
        <f aca="false">IFERROR(__xludf.dummyfunction("""COMPUTED_VALUE"""),17061862)</f>
        <v>17061862</v>
      </c>
      <c r="C91" s="18" t="str">
        <f aca="false">IFERROR(__xludf.dummyfunction("""COMPUTED_VALUE"""),"218CS61/K7161")</f>
        <v>218CS61/K7161</v>
      </c>
      <c r="D91" s="18" t="str">
        <f aca="false">IFERROR(__xludf.dummyfunction("""COMPUTED_VALUE"""),"Приёмка")</f>
        <v>Приёмка</v>
      </c>
      <c r="E91" s="18" t="str">
        <f aca="false">IFERROR(__xludf.dummyfunction("""COMPUTED_VALUE"""),"Нет")</f>
        <v>Нет</v>
      </c>
      <c r="F91" s="19" t="n">
        <f aca="false">IFERROR(__xludf.dummyfunction("""COMPUTED_VALUE"""),0.520833333335759)</f>
        <v>0.520833333335759</v>
      </c>
      <c r="G91" s="19" t="n">
        <f aca="false">IFERROR(__xludf.dummyfunction("""COMPUTED_VALUE"""),0.541666666664241)</f>
        <v>0.541666666664241</v>
      </c>
      <c r="H91" s="19" t="n">
        <f aca="false">IFERROR(__xludf.dummyfunction("""COMPUTED_VALUE"""),0.638888888890506)</f>
        <v>0.638888888890506</v>
      </c>
      <c r="I91" s="19" t="n">
        <f aca="false">IFERROR(__xludf.dummyfunction("""COMPUTED_VALUE"""),0.666666666664241)</f>
        <v>0.666666666664241</v>
      </c>
      <c r="J91" s="18" t="n">
        <f aca="false">IFERROR(__xludf.dummyfunction("""COMPUTED_VALUE"""),62.342)</f>
        <v>62.342</v>
      </c>
      <c r="K91" s="18" t="n">
        <f aca="false">IFERROR(__xludf.dummyfunction("""COMPUTED_VALUE"""),62.342)</f>
        <v>62.342</v>
      </c>
      <c r="L91" s="18" t="n">
        <f aca="false">IFERROR(__xludf.dummyfunction("""COMPUTED_VALUE"""),0)</f>
        <v>0</v>
      </c>
      <c r="M91" s="18" t="n">
        <f aca="false">IFERROR(__xludf.dummyfunction("""COMPUTED_VALUE"""),0)</f>
        <v>0</v>
      </c>
      <c r="N91" s="18" t="n">
        <f aca="false">IFERROR(__xludf.dummyfunction("""COMPUTED_VALUE"""),0)</f>
        <v>0</v>
      </c>
      <c r="O91" s="18" t="n">
        <f aca="false">IFERROR(__xludf.dummyfunction("""COMPUTED_VALUE"""),0)</f>
        <v>0</v>
      </c>
      <c r="P91" s="18" t="str">
        <f aca="false">IFERROR(__xludf.dummyfunction("""COMPUTED_VALUE"""),"Без нареканий")</f>
        <v>Без нареканий</v>
      </c>
      <c r="Q91" s="18"/>
      <c r="R91" s="18" t="n">
        <f aca="false">IFERROR(__xludf.dummyfunction("""COMPUTED_VALUE"""),17061862)</f>
        <v>17061862</v>
      </c>
      <c r="S91" s="18" t="n">
        <f aca="false">IFERROR(__xludf.dummyfunction("""COMPUTED_VALUE"""),0)</f>
        <v>0</v>
      </c>
      <c r="T91" s="18" t="n">
        <f aca="false">IFERROR(__xludf.dummyfunction("""COMPUTED_VALUE"""),0)</f>
        <v>0</v>
      </c>
      <c r="U91" s="18" t="str">
        <f aca="false">IFERROR(__xludf.dummyfunction("""COMPUTED_VALUE"""),"13,6*2,45*2,7")</f>
        <v>13,6*2,45*2,7</v>
      </c>
      <c r="V91" s="18" t="str">
        <f aca="false">IFERROR(__xludf.dummyfunction("""COMPUTED_VALUE"""),"Нет")</f>
        <v>Нет</v>
      </c>
    </row>
    <row r="92" customFormat="false" ht="15.75" hidden="false" customHeight="false" outlineLevel="0" collapsed="false">
      <c r="A92" s="20" t="n">
        <f aca="false">IFERROR(__xludf.dummyfunction("""COMPUTED_VALUE"""),46265)</f>
        <v>46265</v>
      </c>
      <c r="B92" s="18" t="str">
        <f aca="false">IFERROR(__xludf.dummyfunction("""COMPUTED_VALUE"""),"8008546706/8008554791/8008555281/8008555779")</f>
        <v>8008546706/8008554791/8008555281/8008555779</v>
      </c>
      <c r="C92" s="18" t="str">
        <f aca="false">IFERROR(__xludf.dummyfunction("""COMPUTED_VALUE"""),"AX30067/A8100E7")</f>
        <v>AX30067/A8100E7</v>
      </c>
      <c r="D92" s="18" t="str">
        <f aca="false">IFERROR(__xludf.dummyfunction("""COMPUTED_VALUE"""),"Отгрузка")</f>
        <v>Отгрузка</v>
      </c>
      <c r="E92" s="18" t="str">
        <f aca="false">IFERROR(__xludf.dummyfunction("""COMPUTED_VALUE"""),"Нет")</f>
        <v>Нет</v>
      </c>
      <c r="F92" s="19" t="n">
        <f aca="false">IFERROR(__xludf.dummyfunction("""COMPUTED_VALUE"""),0.416666666664241)</f>
        <v>0.416666666664241</v>
      </c>
      <c r="G92" s="19" t="n">
        <f aca="false">IFERROR(__xludf.dummyfunction("""COMPUTED_VALUE"""),0.427083333335759)</f>
        <v>0.427083333335759</v>
      </c>
      <c r="H92" s="19" t="n">
        <f aca="false">IFERROR(__xludf.dummyfunction("""COMPUTED_VALUE"""),0.495138888887595)</f>
        <v>0.495138888887595</v>
      </c>
      <c r="I92" s="19" t="n">
        <f aca="false">IFERROR(__xludf.dummyfunction("""COMPUTED_VALUE"""),0.625)</f>
        <v>0.625</v>
      </c>
      <c r="J92" s="18" t="n">
        <f aca="false">IFERROR(__xludf.dummyfunction("""COMPUTED_VALUE"""),57.328)</f>
        <v>57.328</v>
      </c>
      <c r="K92" s="18" t="n">
        <f aca="false">IFERROR(__xludf.dummyfunction("""COMPUTED_VALUE"""),0)</f>
        <v>0</v>
      </c>
      <c r="L92" s="18" t="n">
        <f aca="false">IFERROR(__xludf.dummyfunction("""COMPUTED_VALUE"""),0)</f>
        <v>0</v>
      </c>
      <c r="M92" s="18" t="n">
        <f aca="false">IFERROR(__xludf.dummyfunction("""COMPUTED_VALUE"""),0)</f>
        <v>0</v>
      </c>
      <c r="N92" s="18" t="n">
        <f aca="false">IFERROR(__xludf.dummyfunction("""COMPUTED_VALUE"""),57.328)</f>
        <v>57.328</v>
      </c>
      <c r="O92" s="18" t="n">
        <f aca="false">IFERROR(__xludf.dummyfunction("""COMPUTED_VALUE"""),0)</f>
        <v>0</v>
      </c>
      <c r="P92" s="18"/>
      <c r="Q92" s="18"/>
      <c r="R92" s="18" t="n">
        <f aca="false">IFERROR(__xludf.dummyfunction("""COMPUTED_VALUE"""),0)</f>
        <v>0</v>
      </c>
      <c r="S92" s="18" t="str">
        <f aca="false">IFERROR(__xludf.dummyfunction("""COMPUTED_VALUE"""),"8008546706/8008554791/8008555281/8008555779")</f>
        <v>8008546706/8008554791/8008555281/8008555779</v>
      </c>
      <c r="T92" s="18" t="str">
        <f aca="false">IFERROR(__xludf.dummyfunction("""COMPUTED_VALUE"""),"30994751/30994752")</f>
        <v>30994751/30994752</v>
      </c>
      <c r="U92" s="18" t="str">
        <f aca="false">IFERROR(__xludf.dummyfunction("""COMPUTED_VALUE"""),"7,5+7,5*2,4+2,4*2,8+2,9")</f>
        <v>7,5+7,5*2,4+2,4*2,8+2,9</v>
      </c>
      <c r="V92" s="18" t="str">
        <f aca="false">IFERROR(__xludf.dummyfunction("""COMPUTED_VALUE"""),"Нет")</f>
        <v>Нет</v>
      </c>
    </row>
    <row r="93" customFormat="false" ht="15.75" hidden="false" customHeight="false" outlineLevel="0" collapsed="false">
      <c r="A93" s="20" t="n">
        <f aca="false">IFERROR(__xludf.dummyfunction("""COMPUTED_VALUE"""),46265)</f>
        <v>46265</v>
      </c>
      <c r="B93" s="18" t="str">
        <f aca="false">IFERROR(__xludf.dummyfunction("""COMPUTED_VALUE"""),"8008555971/8008555983/8008557797")</f>
        <v>8008555971/8008555983/8008557797</v>
      </c>
      <c r="C93" s="18" t="str">
        <f aca="false">IFERROR(__xludf.dummyfunction("""COMPUTED_VALUE"""),"M853CE26/ЕА510926")</f>
        <v>M853CE26/ЕА510926</v>
      </c>
      <c r="D93" s="18" t="str">
        <f aca="false">IFERROR(__xludf.dummyfunction("""COMPUTED_VALUE"""),"Отгрузка")</f>
        <v>Отгрузка</v>
      </c>
      <c r="E93" s="18" t="str">
        <f aca="false">IFERROR(__xludf.dummyfunction("""COMPUTED_VALUE"""),"Нет")</f>
        <v>Нет</v>
      </c>
      <c r="F93" s="19" t="n">
        <f aca="false">IFERROR(__xludf.dummyfunction("""COMPUTED_VALUE"""),0.513888888890506)</f>
        <v>0.513888888890506</v>
      </c>
      <c r="G93" s="19" t="n">
        <f aca="false">IFERROR(__xludf.dummyfunction("""COMPUTED_VALUE"""),0.53125)</f>
        <v>0.53125</v>
      </c>
      <c r="H93" s="19" t="n">
        <f aca="false">IFERROR(__xludf.dummyfunction("""COMPUTED_VALUE"""),0.601388888884685)</f>
        <v>0.601388888884685</v>
      </c>
      <c r="I93" s="19" t="n">
        <f aca="false">IFERROR(__xludf.dummyfunction("""COMPUTED_VALUE"""),0.625)</f>
        <v>0.625</v>
      </c>
      <c r="J93" s="18" t="n">
        <f aca="false">IFERROR(__xludf.dummyfunction("""COMPUTED_VALUE"""),69.043)</f>
        <v>69.043</v>
      </c>
      <c r="K93" s="18" t="n">
        <f aca="false">IFERROR(__xludf.dummyfunction("""COMPUTED_VALUE"""),0)</f>
        <v>0</v>
      </c>
      <c r="L93" s="18" t="n">
        <f aca="false">IFERROR(__xludf.dummyfunction("""COMPUTED_VALUE"""),0)</f>
        <v>0</v>
      </c>
      <c r="M93" s="18" t="n">
        <f aca="false">IFERROR(__xludf.dummyfunction("""COMPUTED_VALUE"""),0)</f>
        <v>0</v>
      </c>
      <c r="N93" s="18" t="n">
        <f aca="false">IFERROR(__xludf.dummyfunction("""COMPUTED_VALUE"""),69.043)</f>
        <v>69.043</v>
      </c>
      <c r="O93" s="18" t="n">
        <f aca="false">IFERROR(__xludf.dummyfunction("""COMPUTED_VALUE"""),0)</f>
        <v>0</v>
      </c>
      <c r="P93" s="18"/>
      <c r="Q93" s="18"/>
      <c r="R93" s="18" t="n">
        <f aca="false">IFERROR(__xludf.dummyfunction("""COMPUTED_VALUE"""),0)</f>
        <v>0</v>
      </c>
      <c r="S93" s="18" t="str">
        <f aca="false">IFERROR(__xludf.dummyfunction("""COMPUTED_VALUE"""),"8008555971/8008555983/8008557797")</f>
        <v>8008555971/8008555983/8008557797</v>
      </c>
      <c r="T93" s="18" t="n">
        <f aca="false">IFERROR(__xludf.dummyfunction("""COMPUTED_VALUE"""),30994749)</f>
        <v>30994749</v>
      </c>
      <c r="U93" s="18" t="str">
        <f aca="false">IFERROR(__xludf.dummyfunction("""COMPUTED_VALUE"""),"13,6*2,5*2,7")</f>
        <v>13,6*2,5*2,7</v>
      </c>
      <c r="V93" s="18" t="str">
        <f aca="false">IFERROR(__xludf.dummyfunction("""COMPUTED_VALUE"""),"Нет")</f>
        <v>Нет</v>
      </c>
    </row>
    <row r="94" customFormat="false" ht="15.75" hidden="false" customHeight="false" outlineLevel="0" collapsed="false">
      <c r="A94" s="20" t="n">
        <f aca="false">IFERROR(__xludf.dummyfunction("""COMPUTED_VALUE"""),46265)</f>
        <v>46265</v>
      </c>
      <c r="B94" s="18" t="n">
        <f aca="false">IFERROR(__xludf.dummyfunction("""COMPUTED_VALUE"""),8008554736)</f>
        <v>8008554736</v>
      </c>
      <c r="C94" s="18" t="str">
        <f aca="false">IFERROR(__xludf.dummyfunction("""COMPUTED_VALUE"""),"О216МК198")</f>
        <v>О216МК198</v>
      </c>
      <c r="D94" s="18" t="str">
        <f aca="false">IFERROR(__xludf.dummyfunction("""COMPUTED_VALUE"""),"Отгрузка")</f>
        <v>Отгрузка</v>
      </c>
      <c r="E94" s="18" t="str">
        <f aca="false">IFERROR(__xludf.dummyfunction("""COMPUTED_VALUE"""),"Нет")</f>
        <v>Нет</v>
      </c>
      <c r="F94" s="19" t="n">
        <f aca="false">IFERROR(__xludf.dummyfunction("""COMPUTED_VALUE"""),0.534722222218989)</f>
        <v>0.534722222218989</v>
      </c>
      <c r="G94" s="19" t="n">
        <f aca="false">IFERROR(__xludf.dummyfunction("""COMPUTED_VALUE"""),0.534722222218989)</f>
        <v>0.534722222218989</v>
      </c>
      <c r="H94" s="19" t="n">
        <f aca="false">IFERROR(__xludf.dummyfunction("""COMPUTED_VALUE"""),0.546527777776646)</f>
        <v>0.546527777776646</v>
      </c>
      <c r="I94" s="19" t="n">
        <f aca="false">IFERROR(__xludf.dummyfunction("""COMPUTED_VALUE"""),0.583333333335759)</f>
        <v>0.583333333335759</v>
      </c>
      <c r="J94" s="18" t="n">
        <f aca="false">IFERROR(__xludf.dummyfunction("""COMPUTED_VALUE"""),6.48)</f>
        <v>6.48</v>
      </c>
      <c r="K94" s="18" t="n">
        <f aca="false">IFERROR(__xludf.dummyfunction("""COMPUTED_VALUE"""),0)</f>
        <v>0</v>
      </c>
      <c r="L94" s="18" t="n">
        <f aca="false">IFERROR(__xludf.dummyfunction("""COMPUTED_VALUE"""),0)</f>
        <v>0</v>
      </c>
      <c r="M94" s="18" t="n">
        <f aca="false">IFERROR(__xludf.dummyfunction("""COMPUTED_VALUE"""),0)</f>
        <v>0</v>
      </c>
      <c r="N94" s="18" t="n">
        <f aca="false">IFERROR(__xludf.dummyfunction("""COMPUTED_VALUE"""),6.48)</f>
        <v>6.48</v>
      </c>
      <c r="O94" s="18" t="n">
        <f aca="false">IFERROR(__xludf.dummyfunction("""COMPUTED_VALUE"""),0)</f>
        <v>0</v>
      </c>
      <c r="P94" s="18"/>
      <c r="Q94" s="18"/>
      <c r="R94" s="18" t="n">
        <f aca="false">IFERROR(__xludf.dummyfunction("""COMPUTED_VALUE"""),0)</f>
        <v>0</v>
      </c>
      <c r="S94" s="18" t="n">
        <f aca="false">IFERROR(__xludf.dummyfunction("""COMPUTED_VALUE"""),8008554736)</f>
        <v>8008554736</v>
      </c>
      <c r="T94" s="18" t="n">
        <f aca="false">IFERROR(__xludf.dummyfunction("""COMPUTED_VALUE"""),30994774)</f>
        <v>30994774</v>
      </c>
      <c r="U94" s="18" t="str">
        <f aca="false">IFERROR(__xludf.dummyfunction("""COMPUTED_VALUE"""),"5*2*2,3")</f>
        <v>5*2*2,3</v>
      </c>
      <c r="V94" s="18" t="str">
        <f aca="false">IFERROR(__xludf.dummyfunction("""COMPUTED_VALUE"""),"Нет")</f>
        <v>Нет</v>
      </c>
    </row>
    <row r="95" customFormat="false" ht="15.75" hidden="false" customHeight="false" outlineLevel="0" collapsed="false">
      <c r="A95" s="20" t="n">
        <f aca="false">IFERROR(__xludf.dummyfunction("""COMPUTED_VALUE"""),46265)</f>
        <v>46265</v>
      </c>
      <c r="B95" s="18" t="str">
        <f aca="false">IFERROR(__xludf.dummyfunction("""COMPUTED_VALUE"""),"8008552221/8008554476/8008554481/8008554488/8008554492/8008555469/8008555972")</f>
        <v>8008552221/8008554476/8008554481/8008554488/8008554492/8008555469/8008555972</v>
      </c>
      <c r="C95" s="18" t="str">
        <f aca="false">IFERROR(__xludf.dummyfunction("""COMPUTED_VALUE"""),"Х676ЕХ797/УХ117377")</f>
        <v>Х676ЕХ797/УХ117377</v>
      </c>
      <c r="D95" s="18" t="str">
        <f aca="false">IFERROR(__xludf.dummyfunction("""COMPUTED_VALUE"""),"Отгрузка")</f>
        <v>Отгрузка</v>
      </c>
      <c r="E95" s="18" t="str">
        <f aca="false">IFERROR(__xludf.dummyfunction("""COMPUTED_VALUE"""),"Нет")</f>
        <v>Нет</v>
      </c>
      <c r="F95" s="19" t="n">
        <f aca="false">IFERROR(__xludf.dummyfunction("""COMPUTED_VALUE"""),0.520833333335759)</f>
        <v>0.520833333335759</v>
      </c>
      <c r="G95" s="19" t="n">
        <f aca="false">IFERROR(__xludf.dummyfunction("""COMPUTED_VALUE"""),0.534722222218989)</f>
        <v>0.534722222218989</v>
      </c>
      <c r="H95" s="19" t="n">
        <f aca="false">IFERROR(__xludf.dummyfunction("""COMPUTED_VALUE"""),0.604166666664241)</f>
        <v>0.604166666664241</v>
      </c>
      <c r="I95" s="19" t="n">
        <f aca="false">IFERROR(__xludf.dummyfunction("""COMPUTED_VALUE"""),0.666666666664241)</f>
        <v>0.666666666664241</v>
      </c>
      <c r="J95" s="18" t="n">
        <f aca="false">IFERROR(__xludf.dummyfunction("""COMPUTED_VALUE"""),54.5)</f>
        <v>54.5</v>
      </c>
      <c r="K95" s="18" t="n">
        <f aca="false">IFERROR(__xludf.dummyfunction("""COMPUTED_VALUE"""),0)</f>
        <v>0</v>
      </c>
      <c r="L95" s="18" t="n">
        <f aca="false">IFERROR(__xludf.dummyfunction("""COMPUTED_VALUE"""),0)</f>
        <v>0</v>
      </c>
      <c r="M95" s="18" t="n">
        <f aca="false">IFERROR(__xludf.dummyfunction("""COMPUTED_VALUE"""),0)</f>
        <v>0</v>
      </c>
      <c r="N95" s="18" t="n">
        <f aca="false">IFERROR(__xludf.dummyfunction("""COMPUTED_VALUE"""),54.5)</f>
        <v>54.5</v>
      </c>
      <c r="O95" s="18" t="n">
        <f aca="false">IFERROR(__xludf.dummyfunction("""COMPUTED_VALUE"""),0)</f>
        <v>0</v>
      </c>
      <c r="P95" s="18"/>
      <c r="Q95" s="18"/>
      <c r="R95" s="18" t="n">
        <f aca="false">IFERROR(__xludf.dummyfunction("""COMPUTED_VALUE"""),0)</f>
        <v>0</v>
      </c>
      <c r="S95" s="18" t="str">
        <f aca="false">IFERROR(__xludf.dummyfunction("""COMPUTED_VALUE"""),"8008552221/8008554476/8008554481/8008554488/8008554492/8008555469/8008555972")</f>
        <v>8008552221/8008554476/8008554481/8008554488/8008554492/8008555469/8008555972</v>
      </c>
      <c r="T95" s="18" t="n">
        <f aca="false">IFERROR(__xludf.dummyfunction("""COMPUTED_VALUE"""),30994766)</f>
        <v>30994766</v>
      </c>
      <c r="U95" s="18" t="str">
        <f aca="false">IFERROR(__xludf.dummyfunction("""COMPUTED_VALUE"""),"13,6*2,4*2,7")</f>
        <v>13,6*2,4*2,7</v>
      </c>
      <c r="V95" s="18" t="str">
        <f aca="false">IFERROR(__xludf.dummyfunction("""COMPUTED_VALUE"""),"Нет")</f>
        <v>Нет</v>
      </c>
    </row>
    <row r="96" customFormat="false" ht="15.75" hidden="false" customHeight="false" outlineLevel="0" collapsed="false">
      <c r="A96" s="20" t="n">
        <f aca="false">IFERROR(__xludf.dummyfunction("""COMPUTED_VALUE"""),46265)</f>
        <v>46265</v>
      </c>
      <c r="B96" s="18" t="n">
        <f aca="false">IFERROR(__xludf.dummyfunction("""COMPUTED_VALUE"""),8008543546)</f>
        <v>8008543546</v>
      </c>
      <c r="C96" s="18" t="str">
        <f aca="false">IFERROR(__xludf.dummyfunction("""COMPUTED_VALUE"""),"С480НС67/74AEG10")</f>
        <v>С480НС67/74AEG10</v>
      </c>
      <c r="D96" s="18" t="str">
        <f aca="false">IFERROR(__xludf.dummyfunction("""COMPUTED_VALUE"""),"Отгрузка")</f>
        <v>Отгрузка</v>
      </c>
      <c r="E96" s="18" t="str">
        <f aca="false">IFERROR(__xludf.dummyfunction("""COMPUTED_VALUE"""),"Нет")</f>
        <v>Нет</v>
      </c>
      <c r="F96" s="19" t="n">
        <f aca="false">IFERROR(__xludf.dummyfunction("""COMPUTED_VALUE"""),0.548611111109494)</f>
        <v>0.548611111109494</v>
      </c>
      <c r="G96" s="19" t="n">
        <f aca="false">IFERROR(__xludf.dummyfunction("""COMPUTED_VALUE"""),0.581944444442343)</f>
        <v>0.581944444442343</v>
      </c>
      <c r="H96" s="19" t="n">
        <f aca="false">IFERROR(__xludf.dummyfunction("""COMPUTED_VALUE"""),0.681250000001455)</f>
        <v>0.681250000001455</v>
      </c>
      <c r="I96" s="19" t="n">
        <f aca="false">IFERROR(__xludf.dummyfunction("""COMPUTED_VALUE"""),0.708333333335759)</f>
        <v>0.708333333335759</v>
      </c>
      <c r="J96" s="18" t="n">
        <f aca="false">IFERROR(__xludf.dummyfunction("""COMPUTED_VALUE"""),66.374)</f>
        <v>66.374</v>
      </c>
      <c r="K96" s="18" t="n">
        <f aca="false">IFERROR(__xludf.dummyfunction("""COMPUTED_VALUE"""),0)</f>
        <v>0</v>
      </c>
      <c r="L96" s="18" t="n">
        <f aca="false">IFERROR(__xludf.dummyfunction("""COMPUTED_VALUE"""),0)</f>
        <v>0</v>
      </c>
      <c r="M96" s="18" t="n">
        <f aca="false">IFERROR(__xludf.dummyfunction("""COMPUTED_VALUE"""),0)</f>
        <v>0</v>
      </c>
      <c r="N96" s="18" t="n">
        <f aca="false">IFERROR(__xludf.dummyfunction("""COMPUTED_VALUE"""),66.374)</f>
        <v>66.374</v>
      </c>
      <c r="O96" s="18" t="n">
        <f aca="false">IFERROR(__xludf.dummyfunction("""COMPUTED_VALUE"""),0)</f>
        <v>0</v>
      </c>
      <c r="P96" s="18"/>
      <c r="Q96" s="18"/>
      <c r="R96" s="18" t="n">
        <f aca="false">IFERROR(__xludf.dummyfunction("""COMPUTED_VALUE"""),0)</f>
        <v>0</v>
      </c>
      <c r="S96" s="18" t="n">
        <f aca="false">IFERROR(__xludf.dummyfunction("""COMPUTED_VALUE"""),8008543546)</f>
        <v>8008543546</v>
      </c>
      <c r="T96" s="18" t="n">
        <f aca="false">IFERROR(__xludf.dummyfunction("""COMPUTED_VALUE"""),30994768)</f>
        <v>30994768</v>
      </c>
      <c r="U96" s="18" t="str">
        <f aca="false">IFERROR(__xludf.dummyfunction("""COMPUTED_VALUE"""),"13,3*2,45*2,64")</f>
        <v>13,3*2,45*2,64</v>
      </c>
      <c r="V96" s="18" t="str">
        <f aca="false">IFERROR(__xludf.dummyfunction("""COMPUTED_VALUE"""),"Нет")</f>
        <v>Нет</v>
      </c>
    </row>
    <row r="97" customFormat="false" ht="15.75" hidden="false" customHeight="false" outlineLevel="0" collapsed="false">
      <c r="A97" s="22"/>
      <c r="B97" s="22"/>
      <c r="C97" s="22"/>
      <c r="D97" s="22"/>
      <c r="E97" s="22"/>
      <c r="F97" s="23"/>
      <c r="G97" s="23"/>
      <c r="H97" s="23"/>
      <c r="I97" s="23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customFormat="false" ht="15.75" hidden="false" customHeight="false" outlineLevel="0" collapsed="false">
      <c r="A98" s="22"/>
      <c r="B98" s="22"/>
      <c r="C98" s="22"/>
      <c r="D98" s="22"/>
      <c r="E98" s="22"/>
      <c r="F98" s="23"/>
      <c r="G98" s="23"/>
      <c r="H98" s="23"/>
      <c r="I98" s="23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customFormat="false" ht="15.75" hidden="false" customHeight="false" outlineLevel="0" collapsed="false">
      <c r="A99" s="22"/>
      <c r="B99" s="22"/>
      <c r="C99" s="22"/>
      <c r="D99" s="22"/>
      <c r="E99" s="22"/>
      <c r="F99" s="23"/>
      <c r="G99" s="23"/>
      <c r="H99" s="23"/>
      <c r="I99" s="23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customFormat="false" ht="15.75" hidden="false" customHeight="false" outlineLevel="0" collapsed="false">
      <c r="A100" s="22"/>
      <c r="B100" s="22"/>
      <c r="C100" s="22"/>
      <c r="D100" s="22"/>
      <c r="E100" s="22"/>
      <c r="F100" s="23"/>
      <c r="G100" s="23"/>
      <c r="H100" s="23"/>
      <c r="I100" s="23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customFormat="false" ht="15.75" hidden="false" customHeight="false" outlineLevel="0" collapsed="false">
      <c r="A101" s="22"/>
      <c r="B101" s="22"/>
      <c r="C101" s="22"/>
      <c r="D101" s="22"/>
      <c r="E101" s="22"/>
      <c r="F101" s="23"/>
      <c r="G101" s="23"/>
      <c r="H101" s="23"/>
      <c r="I101" s="23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customFormat="false" ht="15.75" hidden="false" customHeight="false" outlineLevel="0" collapsed="false">
      <c r="A102" s="22"/>
      <c r="B102" s="22"/>
      <c r="C102" s="22"/>
      <c r="D102" s="22"/>
      <c r="E102" s="22"/>
      <c r="F102" s="23"/>
      <c r="G102" s="23"/>
      <c r="H102" s="23"/>
      <c r="I102" s="23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customFormat="false" ht="15.75" hidden="false" customHeight="false" outlineLevel="0" collapsed="false">
      <c r="A103" s="22"/>
      <c r="B103" s="22"/>
      <c r="C103" s="22"/>
      <c r="D103" s="22"/>
      <c r="E103" s="22"/>
      <c r="F103" s="23"/>
      <c r="G103" s="23"/>
      <c r="H103" s="23"/>
      <c r="I103" s="23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customFormat="false" ht="15.75" hidden="false" customHeight="false" outlineLevel="0" collapsed="false">
      <c r="A104" s="22"/>
      <c r="B104" s="22"/>
      <c r="C104" s="22"/>
      <c r="D104" s="22"/>
      <c r="E104" s="22"/>
      <c r="F104" s="23"/>
      <c r="G104" s="23"/>
      <c r="H104" s="23"/>
      <c r="I104" s="23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customFormat="false" ht="15.75" hidden="false" customHeight="false" outlineLevel="0" collapsed="false">
      <c r="A105" s="22"/>
      <c r="B105" s="22"/>
      <c r="C105" s="22"/>
      <c r="D105" s="22"/>
      <c r="E105" s="22"/>
      <c r="F105" s="23"/>
      <c r="G105" s="23"/>
      <c r="H105" s="23"/>
      <c r="I105" s="23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customFormat="false" ht="15.75" hidden="false" customHeight="false" outlineLevel="0" collapsed="false">
      <c r="A106" s="22"/>
      <c r="B106" s="22"/>
      <c r="C106" s="22"/>
      <c r="D106" s="22"/>
      <c r="E106" s="22"/>
      <c r="F106" s="23"/>
      <c r="G106" s="23"/>
      <c r="H106" s="23"/>
      <c r="I106" s="23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customFormat="false" ht="15.75" hidden="false" customHeight="false" outlineLevel="0" collapsed="false">
      <c r="A107" s="22"/>
      <c r="B107" s="22"/>
      <c r="C107" s="22"/>
      <c r="D107" s="22"/>
      <c r="E107" s="22"/>
      <c r="F107" s="23"/>
      <c r="G107" s="23"/>
      <c r="H107" s="23"/>
      <c r="I107" s="23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customFormat="false" ht="15.75" hidden="false" customHeight="false" outlineLevel="0" collapsed="false">
      <c r="A108" s="22"/>
      <c r="B108" s="22"/>
      <c r="C108" s="22"/>
      <c r="D108" s="22"/>
      <c r="E108" s="22"/>
      <c r="F108" s="23"/>
      <c r="G108" s="23"/>
      <c r="H108" s="23"/>
      <c r="I108" s="23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customFormat="false" ht="15.75" hidden="false" customHeight="false" outlineLevel="0" collapsed="false">
      <c r="A109" s="22"/>
      <c r="B109" s="22"/>
      <c r="C109" s="22"/>
      <c r="D109" s="22"/>
      <c r="E109" s="22"/>
      <c r="F109" s="23"/>
      <c r="G109" s="23"/>
      <c r="H109" s="23"/>
      <c r="I109" s="23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customFormat="false" ht="15.75" hidden="false" customHeight="false" outlineLevel="0" collapsed="false">
      <c r="A110" s="22"/>
      <c r="B110" s="22"/>
      <c r="C110" s="22"/>
      <c r="D110" s="22"/>
      <c r="E110" s="22"/>
      <c r="F110" s="23"/>
      <c r="G110" s="23"/>
      <c r="H110" s="23"/>
      <c r="I110" s="23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customFormat="false" ht="15.75" hidden="false" customHeight="false" outlineLevel="0" collapsed="false">
      <c r="A111" s="22"/>
      <c r="B111" s="22"/>
      <c r="C111" s="22"/>
      <c r="D111" s="22"/>
      <c r="E111" s="22"/>
      <c r="F111" s="23"/>
      <c r="G111" s="23"/>
      <c r="H111" s="23"/>
      <c r="I111" s="23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customFormat="false" ht="15.75" hidden="false" customHeight="false" outlineLevel="0" collapsed="false">
      <c r="A112" s="22"/>
      <c r="B112" s="22"/>
      <c r="C112" s="22"/>
      <c r="D112" s="22"/>
      <c r="E112" s="22"/>
      <c r="F112" s="23"/>
      <c r="G112" s="23"/>
      <c r="H112" s="23"/>
      <c r="I112" s="2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customFormat="false" ht="15.75" hidden="false" customHeight="false" outlineLevel="0" collapsed="false">
      <c r="A113" s="22"/>
      <c r="B113" s="22"/>
      <c r="C113" s="22"/>
      <c r="D113" s="22"/>
      <c r="E113" s="22"/>
      <c r="F113" s="23"/>
      <c r="G113" s="23"/>
      <c r="H113" s="23"/>
      <c r="I113" s="23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customFormat="false" ht="15.75" hidden="false" customHeight="false" outlineLevel="0" collapsed="false">
      <c r="A114" s="22"/>
      <c r="B114" s="22"/>
      <c r="C114" s="22"/>
      <c r="D114" s="22"/>
      <c r="E114" s="22"/>
      <c r="F114" s="23"/>
      <c r="G114" s="23"/>
      <c r="H114" s="23"/>
      <c r="I114" s="23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customFormat="false" ht="15.75" hidden="false" customHeight="false" outlineLevel="0" collapsed="false">
      <c r="A115" s="22"/>
      <c r="B115" s="22"/>
      <c r="C115" s="22"/>
      <c r="D115" s="22"/>
      <c r="E115" s="22"/>
      <c r="F115" s="23"/>
      <c r="G115" s="23"/>
      <c r="H115" s="23"/>
      <c r="I115" s="23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customFormat="false" ht="15.75" hidden="false" customHeight="false" outlineLevel="0" collapsed="false">
      <c r="A116" s="22"/>
      <c r="B116" s="22"/>
      <c r="C116" s="22"/>
      <c r="D116" s="22"/>
      <c r="E116" s="22"/>
      <c r="F116" s="23"/>
      <c r="G116" s="23"/>
      <c r="H116" s="23"/>
      <c r="I116" s="23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customFormat="false" ht="15.75" hidden="false" customHeight="false" outlineLevel="0" collapsed="false">
      <c r="A117" s="22"/>
      <c r="B117" s="22"/>
      <c r="C117" s="22"/>
      <c r="D117" s="22"/>
      <c r="E117" s="22"/>
      <c r="F117" s="23"/>
      <c r="G117" s="23"/>
      <c r="H117" s="23"/>
      <c r="I117" s="23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customFormat="false" ht="15.75" hidden="false" customHeight="false" outlineLevel="0" collapsed="false">
      <c r="A118" s="22"/>
      <c r="B118" s="22"/>
      <c r="C118" s="22"/>
      <c r="D118" s="22"/>
      <c r="E118" s="22"/>
      <c r="F118" s="23"/>
      <c r="G118" s="23"/>
      <c r="H118" s="23"/>
      <c r="I118" s="23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customFormat="false" ht="15.75" hidden="false" customHeight="false" outlineLevel="0" collapsed="false">
      <c r="A119" s="22"/>
      <c r="B119" s="22"/>
      <c r="C119" s="22"/>
      <c r="D119" s="22"/>
      <c r="E119" s="22"/>
      <c r="F119" s="23"/>
      <c r="G119" s="23"/>
      <c r="H119" s="23"/>
      <c r="I119" s="23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customFormat="false" ht="15.75" hidden="false" customHeight="false" outlineLevel="0" collapsed="false">
      <c r="A120" s="22"/>
      <c r="B120" s="22"/>
      <c r="C120" s="22"/>
      <c r="D120" s="22"/>
      <c r="E120" s="22"/>
      <c r="F120" s="23"/>
      <c r="G120" s="23"/>
      <c r="H120" s="23"/>
      <c r="I120" s="23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customFormat="false" ht="15.75" hidden="false" customHeight="false" outlineLevel="0" collapsed="false">
      <c r="A121" s="22"/>
      <c r="B121" s="22"/>
      <c r="C121" s="22"/>
      <c r="D121" s="22"/>
      <c r="E121" s="22"/>
      <c r="F121" s="23"/>
      <c r="G121" s="23"/>
      <c r="H121" s="23"/>
      <c r="I121" s="23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customFormat="false" ht="15.75" hidden="false" customHeight="false" outlineLevel="0" collapsed="false">
      <c r="A122" s="22"/>
      <c r="B122" s="22"/>
      <c r="C122" s="22"/>
      <c r="D122" s="22"/>
      <c r="E122" s="22"/>
      <c r="F122" s="23"/>
      <c r="G122" s="23"/>
      <c r="H122" s="23"/>
      <c r="I122" s="23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customFormat="false" ht="15.75" hidden="false" customHeight="false" outlineLevel="0" collapsed="false">
      <c r="A123" s="22"/>
      <c r="B123" s="22"/>
      <c r="C123" s="22"/>
      <c r="D123" s="22"/>
      <c r="E123" s="22"/>
      <c r="F123" s="23"/>
      <c r="G123" s="23"/>
      <c r="H123" s="23"/>
      <c r="I123" s="23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customFormat="false" ht="15.75" hidden="false" customHeight="false" outlineLevel="0" collapsed="false">
      <c r="A124" s="22"/>
      <c r="B124" s="22"/>
      <c r="C124" s="22"/>
      <c r="D124" s="22"/>
      <c r="E124" s="22"/>
      <c r="F124" s="23"/>
      <c r="G124" s="23"/>
      <c r="H124" s="23"/>
      <c r="I124" s="23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customFormat="false" ht="15.75" hidden="false" customHeight="false" outlineLevel="0" collapsed="false">
      <c r="A125" s="22"/>
      <c r="B125" s="22"/>
      <c r="C125" s="22"/>
      <c r="D125" s="22"/>
      <c r="E125" s="22"/>
      <c r="F125" s="23"/>
      <c r="G125" s="23"/>
      <c r="H125" s="23"/>
      <c r="I125" s="23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customFormat="false" ht="15.75" hidden="false" customHeight="false" outlineLevel="0" collapsed="false">
      <c r="A126" s="22"/>
      <c r="B126" s="22"/>
      <c r="C126" s="22"/>
      <c r="D126" s="22"/>
      <c r="E126" s="22"/>
      <c r="F126" s="23"/>
      <c r="G126" s="23"/>
      <c r="H126" s="23"/>
      <c r="I126" s="23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customFormat="false" ht="15.75" hidden="false" customHeight="false" outlineLevel="0" collapsed="false">
      <c r="A127" s="22"/>
      <c r="B127" s="22"/>
      <c r="C127" s="22"/>
      <c r="D127" s="22"/>
      <c r="E127" s="22"/>
      <c r="F127" s="23"/>
      <c r="G127" s="23"/>
      <c r="H127" s="23"/>
      <c r="I127" s="23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customFormat="false" ht="15.75" hidden="false" customHeight="false" outlineLevel="0" collapsed="false">
      <c r="A128" s="22"/>
      <c r="B128" s="22"/>
      <c r="C128" s="22"/>
      <c r="D128" s="22"/>
      <c r="E128" s="22"/>
      <c r="F128" s="23"/>
      <c r="G128" s="23"/>
      <c r="H128" s="23"/>
      <c r="I128" s="23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customFormat="false" ht="15.75" hidden="false" customHeight="false" outlineLevel="0" collapsed="false">
      <c r="A129" s="22"/>
      <c r="B129" s="22"/>
      <c r="C129" s="22"/>
      <c r="D129" s="22"/>
      <c r="E129" s="22"/>
      <c r="F129" s="23"/>
      <c r="G129" s="23"/>
      <c r="H129" s="23"/>
      <c r="I129" s="23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customFormat="false" ht="15.75" hidden="false" customHeight="false" outlineLevel="0" collapsed="false">
      <c r="A130" s="22"/>
      <c r="B130" s="22"/>
      <c r="C130" s="22"/>
      <c r="D130" s="22"/>
      <c r="E130" s="22"/>
      <c r="F130" s="23"/>
      <c r="G130" s="23"/>
      <c r="H130" s="23"/>
      <c r="I130" s="23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customFormat="false" ht="15.75" hidden="false" customHeight="false" outlineLevel="0" collapsed="false">
      <c r="A131" s="22"/>
      <c r="B131" s="22"/>
      <c r="C131" s="22"/>
      <c r="D131" s="22"/>
      <c r="E131" s="22"/>
      <c r="F131" s="23"/>
      <c r="G131" s="23"/>
      <c r="H131" s="23"/>
      <c r="I131" s="23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3"/>
      <c r="G132" s="23"/>
      <c r="H132" s="23"/>
      <c r="I132" s="23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3"/>
      <c r="G133" s="23"/>
      <c r="H133" s="23"/>
      <c r="I133" s="23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3"/>
      <c r="G134" s="23"/>
      <c r="H134" s="23"/>
      <c r="I134" s="23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3"/>
      <c r="G135" s="23"/>
      <c r="H135" s="23"/>
      <c r="I135" s="23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3"/>
      <c r="G136" s="23"/>
      <c r="H136" s="23"/>
      <c r="I136" s="23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3"/>
      <c r="G137" s="23"/>
      <c r="H137" s="23"/>
      <c r="I137" s="23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3"/>
      <c r="G138" s="23"/>
      <c r="H138" s="23"/>
      <c r="I138" s="23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3"/>
      <c r="G139" s="23"/>
      <c r="H139" s="23"/>
      <c r="I139" s="23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3"/>
      <c r="G140" s="23"/>
      <c r="H140" s="23"/>
      <c r="I140" s="23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3"/>
      <c r="G141" s="23"/>
      <c r="H141" s="23"/>
      <c r="I141" s="23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3"/>
      <c r="G142" s="23"/>
      <c r="H142" s="23"/>
      <c r="I142" s="23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3"/>
      <c r="G143" s="23"/>
      <c r="H143" s="23"/>
      <c r="I143" s="23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3"/>
      <c r="G144" s="23"/>
      <c r="H144" s="23"/>
      <c r="I144" s="23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3"/>
      <c r="G145" s="23"/>
      <c r="H145" s="23"/>
      <c r="I145" s="23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3"/>
      <c r="G146" s="23"/>
      <c r="H146" s="23"/>
      <c r="I146" s="23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3"/>
      <c r="G147" s="23"/>
      <c r="H147" s="23"/>
      <c r="I147" s="23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3"/>
      <c r="G148" s="23"/>
      <c r="H148" s="23"/>
      <c r="I148" s="23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3"/>
      <c r="G149" s="23"/>
      <c r="H149" s="23"/>
      <c r="I149" s="23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3"/>
      <c r="G150" s="23"/>
      <c r="H150" s="23"/>
      <c r="I150" s="23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3"/>
      <c r="G151" s="23"/>
      <c r="H151" s="23"/>
      <c r="I151" s="23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3"/>
      <c r="G152" s="23"/>
      <c r="H152" s="23"/>
      <c r="I152" s="23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3"/>
      <c r="G153" s="23"/>
      <c r="H153" s="23"/>
      <c r="I153" s="23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3"/>
      <c r="G154" s="23"/>
      <c r="H154" s="23"/>
      <c r="I154" s="23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3"/>
      <c r="G155" s="23"/>
      <c r="H155" s="23"/>
      <c r="I155" s="23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3"/>
      <c r="G156" s="23"/>
      <c r="H156" s="23"/>
      <c r="I156" s="23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3"/>
      <c r="G157" s="23"/>
      <c r="H157" s="23"/>
      <c r="I157" s="23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3"/>
      <c r="G158" s="23"/>
      <c r="H158" s="23"/>
      <c r="I158" s="23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3"/>
      <c r="G159" s="23"/>
      <c r="H159" s="23"/>
      <c r="I159" s="23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3"/>
      <c r="G160" s="23"/>
      <c r="H160" s="23"/>
      <c r="I160" s="23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3"/>
      <c r="G161" s="23"/>
      <c r="H161" s="23"/>
      <c r="I161" s="23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3"/>
      <c r="G162" s="23"/>
      <c r="H162" s="23"/>
      <c r="I162" s="23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3"/>
      <c r="G163" s="23"/>
      <c r="H163" s="23"/>
      <c r="I163" s="23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3"/>
      <c r="G164" s="23"/>
      <c r="H164" s="23"/>
      <c r="I164" s="23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3"/>
      <c r="G165" s="23"/>
      <c r="H165" s="23"/>
      <c r="I165" s="23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3"/>
      <c r="G166" s="23"/>
      <c r="H166" s="23"/>
      <c r="I166" s="23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3"/>
      <c r="G167" s="23"/>
      <c r="H167" s="23"/>
      <c r="I167" s="23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3"/>
      <c r="G168" s="23"/>
      <c r="H168" s="23"/>
      <c r="I168" s="23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3"/>
      <c r="G169" s="23"/>
      <c r="H169" s="23"/>
      <c r="I169" s="23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3"/>
      <c r="G170" s="23"/>
      <c r="H170" s="23"/>
      <c r="I170" s="23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3"/>
      <c r="G171" s="23"/>
      <c r="H171" s="23"/>
      <c r="I171" s="23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3"/>
      <c r="G172" s="23"/>
      <c r="H172" s="23"/>
      <c r="I172" s="23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3"/>
      <c r="G173" s="23"/>
      <c r="H173" s="23"/>
      <c r="I173" s="23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3"/>
      <c r="G174" s="23"/>
      <c r="H174" s="23"/>
      <c r="I174" s="23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3"/>
      <c r="G175" s="23"/>
      <c r="H175" s="23"/>
      <c r="I175" s="23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3"/>
      <c r="G176" s="23"/>
      <c r="H176" s="23"/>
      <c r="I176" s="23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3"/>
      <c r="G177" s="23"/>
      <c r="H177" s="23"/>
      <c r="I177" s="23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3"/>
      <c r="G178" s="23"/>
      <c r="H178" s="23"/>
      <c r="I178" s="23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3"/>
      <c r="G179" s="23"/>
      <c r="H179" s="23"/>
      <c r="I179" s="23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3"/>
      <c r="G180" s="23"/>
      <c r="H180" s="23"/>
      <c r="I180" s="23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3"/>
      <c r="G181" s="23"/>
      <c r="H181" s="23"/>
      <c r="I181" s="23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3"/>
      <c r="G182" s="23"/>
      <c r="H182" s="23"/>
      <c r="I182" s="23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3"/>
      <c r="G183" s="23"/>
      <c r="H183" s="23"/>
      <c r="I183" s="23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3"/>
      <c r="G184" s="23"/>
      <c r="H184" s="23"/>
      <c r="I184" s="23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3"/>
      <c r="G185" s="23"/>
      <c r="H185" s="23"/>
      <c r="I185" s="23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3"/>
      <c r="G186" s="23"/>
      <c r="H186" s="23"/>
      <c r="I186" s="23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3"/>
      <c r="G187" s="23"/>
      <c r="H187" s="23"/>
      <c r="I187" s="23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3"/>
      <c r="G188" s="23"/>
      <c r="H188" s="23"/>
      <c r="I188" s="23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3"/>
      <c r="G189" s="23"/>
      <c r="H189" s="23"/>
      <c r="I189" s="23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3"/>
      <c r="G190" s="23"/>
      <c r="H190" s="23"/>
      <c r="I190" s="23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3"/>
      <c r="G191" s="23"/>
      <c r="H191" s="23"/>
      <c r="I191" s="23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3"/>
      <c r="G192" s="23"/>
      <c r="H192" s="23"/>
      <c r="I192" s="23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3"/>
      <c r="G193" s="23"/>
      <c r="H193" s="23"/>
      <c r="I193" s="23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3"/>
      <c r="G194" s="23"/>
      <c r="H194" s="23"/>
      <c r="I194" s="23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3"/>
      <c r="G195" s="23"/>
      <c r="H195" s="23"/>
      <c r="I195" s="23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V9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7" width="22.91"/>
    <col collapsed="false" customWidth="true" hidden="false" outlineLevel="0" max="2" min="2" style="17" width="25.2"/>
  </cols>
  <sheetData>
    <row r="1" customFormat="false" ht="12.8" hidden="false" customHeight="false" outlineLevel="0" collapsed="false">
      <c r="A1" s="24" t="s">
        <v>34</v>
      </c>
      <c r="B1" s="25" t="s">
        <v>35</v>
      </c>
    </row>
    <row r="2" customFormat="false" ht="12.8" hidden="false" customHeight="false" outlineLevel="0" collapsed="false">
      <c r="A2" s="26" t="n">
        <f aca="false">COUNTA(A3:A1000)</f>
        <v>94</v>
      </c>
      <c r="B2" s="27" t="n">
        <f aca="false">SUMPRODUCT(($A$3:$A$1000="отгрузка")*(C3:X1000&lt;&gt;""))</f>
        <v>116</v>
      </c>
    </row>
    <row r="3" customFormat="false" ht="12.8" hidden="false" customHeight="false" outlineLevel="0" collapsed="false">
      <c r="A3" s="18" t="str">
        <f aca="false">IFERROR(__xludf.dummyfunction("""COMPUTED_VALUE"""),"Отгрузка")</f>
        <v>Отгрузка</v>
      </c>
      <c r="B3" s="18" t="n">
        <v>8008501729</v>
      </c>
      <c r="C3" s="28" t="n">
        <v>8008502144</v>
      </c>
      <c r="D3" s="28"/>
      <c r="E3" s="28"/>
      <c r="F3" s="28"/>
      <c r="G3" s="28"/>
      <c r="H3" s="28"/>
      <c r="I3" s="28"/>
      <c r="J3" s="28"/>
      <c r="K3" s="28"/>
    </row>
    <row r="4" customFormat="false" ht="12.8" hidden="false" customHeight="false" outlineLevel="0" collapsed="false">
      <c r="A4" s="18" t="str">
        <f aca="false">IFERROR(__xludf.dummyfunction("""COMPUTED_VALUE"""),"Приёмка")</f>
        <v>Приёмка</v>
      </c>
      <c r="B4" s="18" t="n">
        <v>17056644</v>
      </c>
      <c r="C4" s="28"/>
      <c r="D4" s="28"/>
      <c r="E4" s="28"/>
      <c r="F4" s="28"/>
      <c r="G4" s="28"/>
      <c r="H4" s="28"/>
      <c r="I4" s="28"/>
      <c r="J4" s="28"/>
      <c r="K4" s="28"/>
    </row>
    <row r="5" customFormat="false" ht="12.8" hidden="false" customHeight="false" outlineLevel="0" collapsed="false">
      <c r="A5" s="18" t="str">
        <f aca="false">IFERROR(__xludf.dummyfunction("""COMPUTED_VALUE"""),"Приёмка")</f>
        <v>Приёмка</v>
      </c>
      <c r="B5" s="18" t="n">
        <v>8008488528</v>
      </c>
      <c r="C5" s="28"/>
      <c r="D5" s="28"/>
      <c r="E5" s="28"/>
      <c r="F5" s="28"/>
      <c r="G5" s="28"/>
      <c r="H5" s="28"/>
      <c r="I5" s="28"/>
      <c r="J5" s="28"/>
      <c r="K5" s="28"/>
    </row>
    <row r="6" customFormat="false" ht="12.8" hidden="false" customHeight="false" outlineLevel="0" collapsed="false">
      <c r="A6" s="18" t="str">
        <f aca="false">IFERROR(__xludf.dummyfunction("""COMPUTED_VALUE"""),"Приёмка")</f>
        <v>Приёмка</v>
      </c>
      <c r="B6" s="18" t="n">
        <v>8008498730</v>
      </c>
      <c r="C6" s="28" t="n">
        <v>8008502166</v>
      </c>
      <c r="D6" s="28" t="n">
        <v>8008504757</v>
      </c>
      <c r="E6" s="28"/>
      <c r="F6" s="28"/>
      <c r="G6" s="28"/>
      <c r="H6" s="28"/>
      <c r="I6" s="28"/>
      <c r="J6" s="28"/>
      <c r="K6" s="28"/>
    </row>
    <row r="7" customFormat="false" ht="12.8" hidden="false" customHeight="false" outlineLevel="0" collapsed="false">
      <c r="A7" s="18" t="str">
        <f aca="false">IFERROR(__xludf.dummyfunction("""COMPUTED_VALUE"""),"Приёмка")</f>
        <v>Приёмка</v>
      </c>
      <c r="B7" s="18" t="n">
        <v>17056777</v>
      </c>
      <c r="C7" s="28"/>
      <c r="D7" s="28"/>
      <c r="E7" s="28"/>
      <c r="F7" s="28"/>
      <c r="G7" s="28"/>
      <c r="H7" s="28"/>
      <c r="I7" s="28"/>
      <c r="J7" s="28"/>
      <c r="K7" s="28"/>
    </row>
    <row r="8" customFormat="false" ht="12.8" hidden="false" customHeight="false" outlineLevel="0" collapsed="false">
      <c r="A8" s="18" t="str">
        <f aca="false">IFERROR(__xludf.dummyfunction("""COMPUTED_VALUE"""),"Приёмка")</f>
        <v>Приёмка</v>
      </c>
      <c r="B8" s="18" t="n">
        <v>8008488531</v>
      </c>
      <c r="C8" s="28"/>
      <c r="D8" s="28"/>
      <c r="E8" s="28"/>
      <c r="F8" s="28"/>
      <c r="G8" s="28"/>
      <c r="H8" s="28"/>
      <c r="I8" s="28"/>
      <c r="J8" s="28"/>
      <c r="K8" s="28"/>
    </row>
    <row r="9" customFormat="false" ht="12.8" hidden="false" customHeight="false" outlineLevel="0" collapsed="false">
      <c r="A9" s="18" t="str">
        <f aca="false">IFERROR(__xludf.dummyfunction("""COMPUTED_VALUE"""),"Приёмка")</f>
        <v>Приёмка</v>
      </c>
      <c r="B9" s="18" t="n">
        <v>8008488530</v>
      </c>
      <c r="C9" s="28"/>
      <c r="D9" s="28"/>
      <c r="E9" s="28"/>
      <c r="F9" s="28"/>
      <c r="G9" s="28"/>
      <c r="H9" s="28"/>
      <c r="I9" s="28"/>
      <c r="J9" s="28"/>
      <c r="K9" s="28"/>
    </row>
    <row r="10" customFormat="false" ht="12.8" hidden="false" customHeight="false" outlineLevel="0" collapsed="false">
      <c r="A10" s="18" t="str">
        <f aca="false">IFERROR(__xludf.dummyfunction("""COMPUTED_VALUE"""),"Отгрузка")</f>
        <v>Отгрузка</v>
      </c>
      <c r="B10" s="18" t="n">
        <v>8008505170</v>
      </c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2.8" hidden="false" customHeight="false" outlineLevel="0" collapsed="false">
      <c r="A11" s="18" t="str">
        <f aca="false">IFERROR(__xludf.dummyfunction("""COMPUTED_VALUE"""),"Отгрузка")</f>
        <v>Отгрузка</v>
      </c>
      <c r="B11" s="18" t="n">
        <v>8008505960</v>
      </c>
      <c r="C11" s="28"/>
      <c r="D11" s="28"/>
      <c r="E11" s="28"/>
      <c r="F11" s="28"/>
      <c r="G11" s="28"/>
      <c r="H11" s="28"/>
      <c r="I11" s="28"/>
      <c r="J11" s="28"/>
      <c r="K11" s="28"/>
    </row>
    <row r="12" customFormat="false" ht="12.8" hidden="false" customHeight="false" outlineLevel="0" collapsed="false">
      <c r="A12" s="18" t="str">
        <f aca="false">IFERROR(__xludf.dummyfunction("""COMPUTED_VALUE"""),"Отгрузка")</f>
        <v>Отгрузка</v>
      </c>
      <c r="B12" s="18" t="n">
        <v>8008505270</v>
      </c>
      <c r="C12" s="28" t="n">
        <v>8008508258</v>
      </c>
      <c r="D12" s="28"/>
      <c r="E12" s="28"/>
      <c r="F12" s="28"/>
      <c r="G12" s="28"/>
      <c r="H12" s="28"/>
      <c r="I12" s="28"/>
      <c r="J12" s="28"/>
      <c r="K12" s="28"/>
    </row>
    <row r="13" customFormat="false" ht="12.8" hidden="false" customHeight="false" outlineLevel="0" collapsed="false">
      <c r="A13" s="18" t="str">
        <f aca="false">IFERROR(__xludf.dummyfunction("""COMPUTED_VALUE"""),"Отгрузка")</f>
        <v>Отгрузка</v>
      </c>
      <c r="B13" s="18" t="n">
        <v>8008496265</v>
      </c>
      <c r="C13" s="28" t="n">
        <v>8008501544</v>
      </c>
      <c r="D13" s="28" t="n">
        <v>8008501548</v>
      </c>
      <c r="E13" s="28" t="n">
        <v>8008502023</v>
      </c>
      <c r="F13" s="28" t="n">
        <v>8008504415</v>
      </c>
      <c r="G13" s="28" t="n">
        <v>8008508297</v>
      </c>
      <c r="H13" s="28"/>
      <c r="I13" s="28"/>
      <c r="J13" s="28"/>
      <c r="K13" s="28"/>
    </row>
    <row r="14" customFormat="false" ht="12.8" hidden="false" customHeight="false" outlineLevel="0" collapsed="false">
      <c r="A14" s="18" t="str">
        <f aca="false">IFERROR(__xludf.dummyfunction("""COMPUTED_VALUE"""),"Отгрузка")</f>
        <v>Отгрузка</v>
      </c>
      <c r="B14" s="18" t="n">
        <v>8008508594</v>
      </c>
      <c r="C14" s="28" t="n">
        <v>8008508625</v>
      </c>
      <c r="D14" s="28" t="n">
        <v>8008508626</v>
      </c>
      <c r="E14" s="28"/>
      <c r="F14" s="28"/>
      <c r="G14" s="28"/>
      <c r="H14" s="28"/>
      <c r="I14" s="28"/>
      <c r="J14" s="28"/>
      <c r="K14" s="28"/>
    </row>
    <row r="15" customFormat="false" ht="12.8" hidden="false" customHeight="false" outlineLevel="0" collapsed="false">
      <c r="A15" s="18" t="str">
        <f aca="false">IFERROR(__xludf.dummyfunction("""COMPUTED_VALUE"""),"Отгрузка")</f>
        <v>Отгрузка</v>
      </c>
      <c r="B15" s="18" t="n">
        <v>8008506031</v>
      </c>
      <c r="C15" s="28" t="n">
        <v>8008506032</v>
      </c>
      <c r="D15" s="28" t="n">
        <v>8008506375</v>
      </c>
      <c r="E15" s="28"/>
      <c r="F15" s="28"/>
      <c r="G15" s="28"/>
      <c r="H15" s="28"/>
      <c r="I15" s="28"/>
      <c r="J15" s="28"/>
      <c r="K15" s="28"/>
    </row>
    <row r="16" customFormat="false" ht="12.8" hidden="false" customHeight="false" outlineLevel="0" collapsed="false">
      <c r="A16" s="18" t="str">
        <f aca="false">IFERROR(__xludf.dummyfunction("""COMPUTED_VALUE"""),"Отгрузка")</f>
        <v>Отгрузка</v>
      </c>
      <c r="B16" s="18" t="n">
        <v>8008505351</v>
      </c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2.8" hidden="false" customHeight="false" outlineLevel="0" collapsed="false">
      <c r="A17" s="18" t="str">
        <f aca="false">IFERROR(__xludf.dummyfunction("""COMPUTED_VALUE"""),"Отгрузка")</f>
        <v>Отгрузка</v>
      </c>
      <c r="B17" s="18" t="n">
        <v>8008494308</v>
      </c>
      <c r="C17" s="28" t="n">
        <v>8008502285</v>
      </c>
      <c r="D17" s="28" t="n">
        <v>8008505956</v>
      </c>
      <c r="E17" s="28"/>
      <c r="F17" s="28"/>
      <c r="G17" s="28"/>
      <c r="H17" s="28"/>
      <c r="I17" s="28"/>
      <c r="J17" s="28"/>
      <c r="K17" s="28"/>
    </row>
    <row r="18" customFormat="false" ht="12.8" hidden="false" customHeight="false" outlineLevel="0" collapsed="false">
      <c r="A18" s="18" t="str">
        <f aca="false">IFERROR(__xludf.dummyfunction("""COMPUTED_VALUE"""),"Отгрузка")</f>
        <v>Отгрузка</v>
      </c>
      <c r="B18" s="18" t="n">
        <v>8008508905</v>
      </c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12.8" hidden="false" customHeight="false" outlineLevel="0" collapsed="false">
      <c r="A19" s="18" t="str">
        <f aca="false">IFERROR(__xludf.dummyfunction("""COMPUTED_VALUE"""),"Отгрузка")</f>
        <v>Отгрузка</v>
      </c>
      <c r="B19" s="18" t="n">
        <v>8008509621</v>
      </c>
      <c r="C19" s="28" t="n">
        <v>8008510944</v>
      </c>
      <c r="D19" s="28"/>
      <c r="E19" s="28"/>
      <c r="F19" s="28"/>
      <c r="G19" s="28"/>
      <c r="H19" s="28"/>
      <c r="I19" s="28"/>
      <c r="J19" s="28"/>
      <c r="K19" s="28"/>
    </row>
    <row r="20" customFormat="false" ht="12.8" hidden="false" customHeight="false" outlineLevel="0" collapsed="false">
      <c r="A20" s="18" t="str">
        <f aca="false">IFERROR(__xludf.dummyfunction("""COMPUTED_VALUE"""),"Приёмка")</f>
        <v>Приёмка</v>
      </c>
      <c r="B20" s="18" t="n">
        <v>8008488546</v>
      </c>
      <c r="C20" s="28"/>
      <c r="D20" s="28"/>
      <c r="E20" s="28"/>
      <c r="F20" s="28"/>
      <c r="G20" s="28"/>
      <c r="H20" s="28"/>
      <c r="I20" s="28"/>
      <c r="J20" s="28"/>
      <c r="K20" s="28"/>
    </row>
    <row r="21" customFormat="false" ht="12.8" hidden="false" customHeight="false" outlineLevel="0" collapsed="false">
      <c r="A21" s="18" t="str">
        <f aca="false">IFERROR(__xludf.dummyfunction("""COMPUTED_VALUE"""),"Отгрузка")</f>
        <v>Отгрузка</v>
      </c>
      <c r="B21" s="18" t="n">
        <v>8008509141</v>
      </c>
      <c r="C21" s="28"/>
      <c r="D21" s="28"/>
      <c r="E21" s="28"/>
      <c r="F21" s="28"/>
      <c r="G21" s="28"/>
      <c r="H21" s="28"/>
      <c r="I21" s="28"/>
      <c r="J21" s="28"/>
      <c r="K21" s="28"/>
    </row>
    <row r="22" customFormat="false" ht="12.8" hidden="false" customHeight="false" outlineLevel="0" collapsed="false">
      <c r="A22" s="18" t="str">
        <f aca="false">IFERROR(__xludf.dummyfunction("""COMPUTED_VALUE"""),"Приёмка")</f>
        <v>Приёмка</v>
      </c>
      <c r="B22" s="18" t="n">
        <v>8008488545</v>
      </c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12.8" hidden="false" customHeight="false" outlineLevel="0" collapsed="false">
      <c r="A23" s="18" t="str">
        <f aca="false">IFERROR(__xludf.dummyfunction("""COMPUTED_VALUE"""),"Приёмка")</f>
        <v>Приёмка</v>
      </c>
      <c r="B23" s="18" t="n">
        <v>8008488535</v>
      </c>
      <c r="C23" s="28" t="n">
        <v>8008513662</v>
      </c>
      <c r="D23" s="28"/>
      <c r="E23" s="28"/>
      <c r="F23" s="28"/>
      <c r="G23" s="28"/>
      <c r="H23" s="28"/>
      <c r="I23" s="28"/>
      <c r="J23" s="28"/>
      <c r="K23" s="28"/>
    </row>
    <row r="24" customFormat="false" ht="12.8" hidden="false" customHeight="false" outlineLevel="0" collapsed="false">
      <c r="A24" s="18" t="str">
        <f aca="false">IFERROR(__xludf.dummyfunction("""COMPUTED_VALUE"""),"Отгрузка")</f>
        <v>Отгрузка</v>
      </c>
      <c r="B24" s="18" t="n">
        <v>8008511318</v>
      </c>
      <c r="C24" s="28"/>
      <c r="D24" s="28"/>
      <c r="E24" s="28"/>
      <c r="F24" s="28"/>
      <c r="G24" s="28"/>
      <c r="H24" s="28"/>
      <c r="I24" s="28"/>
      <c r="J24" s="28"/>
      <c r="K24" s="28"/>
    </row>
    <row r="25" customFormat="false" ht="12.8" hidden="false" customHeight="false" outlineLevel="0" collapsed="false">
      <c r="A25" s="18" t="str">
        <f aca="false">IFERROR(__xludf.dummyfunction("""COMPUTED_VALUE"""),"Приёмка")</f>
        <v>Приёмка</v>
      </c>
      <c r="B25" s="18" t="n">
        <v>8008488542</v>
      </c>
      <c r="C25" s="28"/>
      <c r="D25" s="28"/>
      <c r="E25" s="28"/>
      <c r="F25" s="28"/>
      <c r="G25" s="28"/>
      <c r="H25" s="28"/>
      <c r="I25" s="28"/>
      <c r="J25" s="28"/>
      <c r="K25" s="28"/>
    </row>
    <row r="26" customFormat="false" ht="12.8" hidden="false" customHeight="false" outlineLevel="0" collapsed="false">
      <c r="A26" s="18" t="str">
        <f aca="false">IFERROR(__xludf.dummyfunction("""COMPUTED_VALUE"""),"Отгрузка")</f>
        <v>Отгрузка</v>
      </c>
      <c r="B26" s="18" t="n">
        <v>8008510761</v>
      </c>
      <c r="C26" s="28" t="n">
        <v>8008513470</v>
      </c>
      <c r="D26" s="28"/>
      <c r="E26" s="28"/>
      <c r="F26" s="28"/>
      <c r="G26" s="28"/>
      <c r="H26" s="28"/>
      <c r="I26" s="28"/>
      <c r="J26" s="28"/>
      <c r="K26" s="28"/>
    </row>
    <row r="27" customFormat="false" ht="12.8" hidden="false" customHeight="false" outlineLevel="0" collapsed="false">
      <c r="A27" s="18" t="str">
        <f aca="false">IFERROR(__xludf.dummyfunction("""COMPUTED_VALUE"""),"Отгрузка")</f>
        <v>Отгрузка</v>
      </c>
      <c r="B27" s="18" t="n">
        <v>8008510641</v>
      </c>
      <c r="C27" s="28" t="n">
        <v>8008510647</v>
      </c>
      <c r="D27" s="28" t="n">
        <v>8008510653</v>
      </c>
      <c r="E27" s="28" t="n">
        <v>8008513120</v>
      </c>
      <c r="F27" s="28" t="n">
        <v>8008513131</v>
      </c>
      <c r="G27" s="28" t="n">
        <v>8008513466</v>
      </c>
      <c r="H27" s="28"/>
      <c r="I27" s="28"/>
      <c r="J27" s="28"/>
      <c r="K27" s="28"/>
    </row>
    <row r="28" customFormat="false" ht="12.8" hidden="false" customHeight="false" outlineLevel="0" collapsed="false">
      <c r="A28" s="18" t="str">
        <f aca="false">IFERROR(__xludf.dummyfunction("""COMPUTED_VALUE"""),"Отгрузка")</f>
        <v>Отгрузка</v>
      </c>
      <c r="B28" s="18" t="n">
        <v>8008514702</v>
      </c>
      <c r="C28" s="28" t="n">
        <v>8008515608</v>
      </c>
      <c r="D28" s="28"/>
      <c r="E28" s="28"/>
      <c r="F28" s="28"/>
      <c r="G28" s="28"/>
      <c r="H28" s="28"/>
      <c r="I28" s="28"/>
      <c r="J28" s="28"/>
      <c r="K28" s="28"/>
    </row>
    <row r="29" customFormat="false" ht="12.8" hidden="false" customHeight="false" outlineLevel="0" collapsed="false">
      <c r="A29" s="18" t="str">
        <f aca="false">IFERROR(__xludf.dummyfunction("""COMPUTED_VALUE"""),"Приёмка")</f>
        <v>Приёмка</v>
      </c>
      <c r="B29" s="18" t="n">
        <v>8008480507</v>
      </c>
      <c r="C29" s="28" t="n">
        <v>8008516142</v>
      </c>
      <c r="D29" s="28"/>
      <c r="E29" s="28"/>
      <c r="F29" s="28"/>
      <c r="G29" s="28"/>
      <c r="H29" s="28"/>
      <c r="I29" s="28"/>
      <c r="J29" s="28"/>
      <c r="K29" s="28"/>
    </row>
    <row r="30" customFormat="false" ht="12.8" hidden="false" customHeight="false" outlineLevel="0" collapsed="false">
      <c r="A30" s="18" t="str">
        <f aca="false">IFERROR(__xludf.dummyfunction("""COMPUTED_VALUE"""),"Отгрузка")</f>
        <v>Отгрузка</v>
      </c>
      <c r="B30" s="18" t="n">
        <v>8008515545</v>
      </c>
      <c r="C30" s="28" t="n">
        <v>8008515929</v>
      </c>
      <c r="D30" s="28"/>
      <c r="E30" s="28"/>
      <c r="F30" s="28"/>
      <c r="G30" s="28"/>
      <c r="H30" s="28"/>
      <c r="I30" s="28"/>
      <c r="J30" s="28"/>
      <c r="K30" s="28"/>
    </row>
    <row r="31" customFormat="false" ht="12.8" hidden="false" customHeight="false" outlineLevel="0" collapsed="false">
      <c r="A31" s="18" t="str">
        <f aca="false">IFERROR(__xludf.dummyfunction("""COMPUTED_VALUE"""),"Отгрузка")</f>
        <v>Отгрузка</v>
      </c>
      <c r="B31" s="18" t="n">
        <v>8008501500</v>
      </c>
      <c r="C31" s="28" t="n">
        <v>8008509617</v>
      </c>
      <c r="D31" s="28" t="n">
        <v>8008514288</v>
      </c>
      <c r="E31" s="28" t="n">
        <v>8008514392</v>
      </c>
      <c r="F31" s="28" t="n">
        <v>8008514680</v>
      </c>
      <c r="G31" s="28"/>
      <c r="H31" s="28"/>
      <c r="I31" s="28"/>
      <c r="J31" s="28"/>
      <c r="K31" s="28"/>
    </row>
    <row r="32" customFormat="false" ht="12.8" hidden="false" customHeight="false" outlineLevel="0" collapsed="false">
      <c r="A32" s="18" t="str">
        <f aca="false">IFERROR(__xludf.dummyfunction("""COMPUTED_VALUE"""),"Приёмка")</f>
        <v>Приёмка</v>
      </c>
      <c r="B32" s="18" t="n">
        <v>84938085</v>
      </c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12.8" hidden="false" customHeight="false" outlineLevel="0" collapsed="false">
      <c r="A33" s="18" t="str">
        <f aca="false">IFERROR(__xludf.dummyfunction("""COMPUTED_VALUE"""),"Отгрузка")</f>
        <v>Отгрузка</v>
      </c>
      <c r="B33" s="18" t="n">
        <v>8008516713</v>
      </c>
      <c r="C33" s="28" t="n">
        <v>8008518354</v>
      </c>
      <c r="D33" s="28"/>
      <c r="E33" s="28"/>
      <c r="F33" s="28"/>
      <c r="G33" s="28"/>
      <c r="H33" s="28"/>
      <c r="I33" s="28"/>
      <c r="J33" s="28"/>
      <c r="K33" s="28"/>
    </row>
    <row r="34" customFormat="false" ht="12.8" hidden="false" customHeight="false" outlineLevel="0" collapsed="false">
      <c r="A34" s="18" t="str">
        <f aca="false">IFERROR(__xludf.dummyfunction("""COMPUTED_VALUE"""),"Приёмка")</f>
        <v>Приёмка</v>
      </c>
      <c r="B34" s="18" t="n">
        <v>8008517796</v>
      </c>
      <c r="C34" s="28"/>
      <c r="D34" s="28"/>
      <c r="E34" s="28"/>
      <c r="F34" s="28"/>
      <c r="G34" s="28"/>
      <c r="H34" s="28"/>
      <c r="I34" s="28"/>
      <c r="J34" s="28"/>
      <c r="K34" s="28"/>
    </row>
    <row r="35" customFormat="false" ht="12.8" hidden="false" customHeight="false" outlineLevel="0" collapsed="false">
      <c r="A35" s="18" t="str">
        <f aca="false">IFERROR(__xludf.dummyfunction("""COMPUTED_VALUE"""),"Приёмка")</f>
        <v>Приёмка</v>
      </c>
      <c r="B35" s="18" t="n">
        <v>17058956</v>
      </c>
      <c r="C35" s="28"/>
      <c r="D35" s="28"/>
      <c r="E35" s="28"/>
      <c r="F35" s="28"/>
      <c r="G35" s="28"/>
      <c r="H35" s="28"/>
      <c r="I35" s="28"/>
      <c r="J35" s="28"/>
      <c r="K35" s="28"/>
    </row>
    <row r="36" customFormat="false" ht="12.8" hidden="false" customHeight="false" outlineLevel="0" collapsed="false">
      <c r="A36" s="18" t="str">
        <f aca="false">IFERROR(__xludf.dummyfunction("""COMPUTED_VALUE"""),"Отгрузка")</f>
        <v>Отгрузка</v>
      </c>
      <c r="B36" s="18" t="n">
        <v>8008520547</v>
      </c>
      <c r="C36" s="28" t="n">
        <v>8008520551</v>
      </c>
      <c r="D36" s="28" t="n">
        <v>8008520554</v>
      </c>
      <c r="E36" s="28" t="n">
        <v>8008520788</v>
      </c>
      <c r="F36" s="28" t="n">
        <v>8008520874</v>
      </c>
      <c r="G36" s="28"/>
      <c r="H36" s="28"/>
      <c r="I36" s="28"/>
      <c r="J36" s="28"/>
      <c r="K36" s="28"/>
    </row>
    <row r="37" customFormat="false" ht="12.8" hidden="false" customHeight="false" outlineLevel="0" collapsed="false">
      <c r="A37" s="18" t="str">
        <f aca="false">IFERROR(__xludf.dummyfunction("""COMPUTED_VALUE"""),"Приёмка")</f>
        <v>Приёмка</v>
      </c>
      <c r="B37" s="18" t="n">
        <v>17059305</v>
      </c>
      <c r="C37" s="28"/>
      <c r="D37" s="28"/>
      <c r="E37" s="28"/>
      <c r="F37" s="28"/>
      <c r="G37" s="28"/>
      <c r="H37" s="28"/>
      <c r="I37" s="28"/>
      <c r="J37" s="28"/>
      <c r="K37" s="28"/>
    </row>
    <row r="38" customFormat="false" ht="12.8" hidden="false" customHeight="false" outlineLevel="0" collapsed="false">
      <c r="A38" s="18" t="str">
        <f aca="false">IFERROR(__xludf.dummyfunction("""COMPUTED_VALUE"""),"Отгрузка")</f>
        <v>Отгрузка</v>
      </c>
      <c r="B38" s="18" t="n">
        <v>8008520789</v>
      </c>
      <c r="C38" s="28" t="n">
        <v>8008520790</v>
      </c>
      <c r="D38" s="28" t="n">
        <v>8008520932</v>
      </c>
      <c r="E38" s="28"/>
      <c r="F38" s="28"/>
      <c r="G38" s="28"/>
      <c r="H38" s="28"/>
      <c r="I38" s="28"/>
      <c r="J38" s="28"/>
      <c r="K38" s="28"/>
    </row>
    <row r="39" customFormat="false" ht="12.8" hidden="false" customHeight="false" outlineLevel="0" collapsed="false">
      <c r="A39" s="18" t="str">
        <f aca="false">IFERROR(__xludf.dummyfunction("""COMPUTED_VALUE"""),"Приёмка")</f>
        <v>Приёмка</v>
      </c>
      <c r="B39" s="18" t="n">
        <v>8008519004</v>
      </c>
      <c r="C39" s="28"/>
      <c r="D39" s="28"/>
      <c r="E39" s="28"/>
      <c r="F39" s="28"/>
      <c r="G39" s="28"/>
      <c r="H39" s="28"/>
      <c r="I39" s="28"/>
      <c r="J39" s="28"/>
      <c r="K39" s="28"/>
    </row>
    <row r="40" customFormat="false" ht="12.8" hidden="false" customHeight="false" outlineLevel="0" collapsed="false">
      <c r="A40" s="18" t="str">
        <f aca="false">IFERROR(__xludf.dummyfunction("""COMPUTED_VALUE"""),"Приёмка")</f>
        <v>Приёмка</v>
      </c>
      <c r="B40" s="18" t="n">
        <v>8008421443</v>
      </c>
      <c r="C40" s="28"/>
      <c r="D40" s="28"/>
      <c r="E40" s="28"/>
      <c r="F40" s="28"/>
      <c r="G40" s="28"/>
      <c r="H40" s="28"/>
      <c r="I40" s="28"/>
      <c r="J40" s="28"/>
      <c r="K40" s="28"/>
    </row>
    <row r="41" customFormat="false" ht="12.8" hidden="false" customHeight="false" outlineLevel="0" collapsed="false">
      <c r="A41" s="18" t="str">
        <f aca="false">IFERROR(__xludf.dummyfunction("""COMPUTED_VALUE"""),"Отгрузка")</f>
        <v>Отгрузка</v>
      </c>
      <c r="B41" s="18" t="n">
        <v>8008521320</v>
      </c>
      <c r="C41" s="28"/>
      <c r="D41" s="28"/>
      <c r="E41" s="28"/>
      <c r="F41" s="28"/>
      <c r="G41" s="28"/>
      <c r="H41" s="28"/>
      <c r="I41" s="28"/>
      <c r="J41" s="28"/>
      <c r="K41" s="28"/>
    </row>
    <row r="42" customFormat="false" ht="12.8" hidden="false" customHeight="false" outlineLevel="0" collapsed="false">
      <c r="A42" s="18" t="str">
        <f aca="false">IFERROR(__xludf.dummyfunction("""COMPUTED_VALUE"""),"Приёмка")</f>
        <v>Приёмка</v>
      </c>
      <c r="B42" s="18" t="n">
        <v>8008519006</v>
      </c>
      <c r="C42" s="28"/>
      <c r="D42" s="28"/>
      <c r="E42" s="28"/>
      <c r="F42" s="28"/>
      <c r="G42" s="28"/>
      <c r="H42" s="28"/>
      <c r="I42" s="28"/>
      <c r="J42" s="28"/>
      <c r="K42" s="28"/>
    </row>
    <row r="43" customFormat="false" ht="12.8" hidden="false" customHeight="false" outlineLevel="0" collapsed="false">
      <c r="A43" s="18" t="str">
        <f aca="false">IFERROR(__xludf.dummyfunction("""COMPUTED_VALUE"""),"Приёмка")</f>
        <v>Приёмка</v>
      </c>
      <c r="B43" s="18" t="n">
        <v>8008519007</v>
      </c>
      <c r="C43" s="28" t="n">
        <v>8008523521</v>
      </c>
      <c r="D43" s="28"/>
      <c r="E43" s="28"/>
      <c r="F43" s="28"/>
      <c r="G43" s="28"/>
      <c r="H43" s="28"/>
      <c r="I43" s="28"/>
      <c r="J43" s="28"/>
      <c r="K43" s="28"/>
    </row>
    <row r="44" customFormat="false" ht="12.8" hidden="false" customHeight="false" outlineLevel="0" collapsed="false">
      <c r="A44" s="18" t="str">
        <f aca="false">IFERROR(__xludf.dummyfunction("""COMPUTED_VALUE"""),"Приёмка")</f>
        <v>Приёмка</v>
      </c>
      <c r="B44" s="18" t="n">
        <v>17057008</v>
      </c>
      <c r="C44" s="28"/>
      <c r="D44" s="28"/>
      <c r="E44" s="28"/>
      <c r="F44" s="28"/>
      <c r="G44" s="28"/>
      <c r="H44" s="28"/>
      <c r="I44" s="28"/>
      <c r="J44" s="28"/>
      <c r="K44" s="28"/>
    </row>
    <row r="45" customFormat="false" ht="12.8" hidden="false" customHeight="false" outlineLevel="0" collapsed="false">
      <c r="A45" s="18" t="str">
        <f aca="false">IFERROR(__xludf.dummyfunction("""COMPUTED_VALUE"""),"Отгрузка")</f>
        <v>Отгрузка</v>
      </c>
      <c r="B45" s="18" t="n">
        <v>8008518227</v>
      </c>
      <c r="C45" s="28" t="n">
        <v>8008519145</v>
      </c>
      <c r="D45" s="28" t="n">
        <v>8008520302</v>
      </c>
      <c r="E45" s="28" t="n">
        <v>8008521255</v>
      </c>
      <c r="F45" s="28" t="n">
        <v>8008521261</v>
      </c>
      <c r="G45" s="28" t="n">
        <v>8008521269</v>
      </c>
      <c r="H45" s="28" t="n">
        <v>8008523526</v>
      </c>
      <c r="I45" s="28"/>
      <c r="J45" s="28"/>
      <c r="K45" s="28"/>
    </row>
    <row r="46" customFormat="false" ht="12.8" hidden="false" customHeight="false" outlineLevel="0" collapsed="false">
      <c r="A46" s="18" t="str">
        <f aca="false">IFERROR(__xludf.dummyfunction("""COMPUTED_VALUE"""),"Отгрузка")</f>
        <v>Отгрузка</v>
      </c>
      <c r="B46" s="18" t="n">
        <v>8008524305</v>
      </c>
      <c r="C46" s="28" t="n">
        <v>8008524310</v>
      </c>
      <c r="D46" s="28" t="n">
        <v>8008524383</v>
      </c>
      <c r="E46" s="28" t="n">
        <v>8008525699</v>
      </c>
      <c r="F46" s="28" t="n">
        <v>8008526341</v>
      </c>
      <c r="G46" s="28" t="n">
        <v>8008526595</v>
      </c>
      <c r="H46" s="28"/>
      <c r="I46" s="28"/>
      <c r="J46" s="28"/>
      <c r="K46" s="28"/>
    </row>
    <row r="47" customFormat="false" ht="12.8" hidden="false" customHeight="false" outlineLevel="0" collapsed="false">
      <c r="A47" s="18" t="str">
        <f aca="false">IFERROR(__xludf.dummyfunction("""COMPUTED_VALUE"""),"Приёмка")</f>
        <v>Приёмка</v>
      </c>
      <c r="B47" s="18" t="n">
        <v>8008524127</v>
      </c>
      <c r="C47" s="28"/>
      <c r="D47" s="28"/>
      <c r="E47" s="28"/>
      <c r="F47" s="28"/>
      <c r="G47" s="28"/>
      <c r="H47" s="28"/>
      <c r="I47" s="28"/>
      <c r="J47" s="28"/>
      <c r="K47" s="28"/>
    </row>
    <row r="48" customFormat="false" ht="12.8" hidden="false" customHeight="false" outlineLevel="0" collapsed="false">
      <c r="A48" s="18" t="str">
        <f aca="false">IFERROR(__xludf.dummyfunction("""COMPUTED_VALUE"""),"Приёмка")</f>
        <v>Приёмка</v>
      </c>
      <c r="B48" s="18" t="n">
        <v>8008519012</v>
      </c>
      <c r="C48" s="28" t="n">
        <v>8008525798</v>
      </c>
      <c r="D48" s="28"/>
      <c r="E48" s="28"/>
      <c r="F48" s="28"/>
      <c r="G48" s="28"/>
      <c r="H48" s="28"/>
      <c r="I48" s="28"/>
      <c r="J48" s="28"/>
      <c r="K48" s="28"/>
    </row>
    <row r="49" customFormat="false" ht="12.8" hidden="false" customHeight="false" outlineLevel="0" collapsed="false">
      <c r="A49" s="18" t="str">
        <f aca="false">IFERROR(__xludf.dummyfunction("""COMPUTED_VALUE"""),"Отгрузка")</f>
        <v>Отгрузка</v>
      </c>
      <c r="B49" s="18" t="n">
        <v>8008520542</v>
      </c>
      <c r="C49" s="28" t="n">
        <v>8008521306</v>
      </c>
      <c r="D49" s="28"/>
      <c r="E49" s="28"/>
      <c r="F49" s="28"/>
      <c r="G49" s="28"/>
      <c r="H49" s="28"/>
      <c r="I49" s="28"/>
      <c r="J49" s="28"/>
      <c r="K49" s="28"/>
    </row>
    <row r="50" customFormat="false" ht="12.8" hidden="false" customHeight="false" outlineLevel="0" collapsed="false">
      <c r="A50" s="18" t="str">
        <f aca="false">IFERROR(__xludf.dummyfunction("""COMPUTED_VALUE"""),"Отгрузка")</f>
        <v>Отгрузка</v>
      </c>
      <c r="B50" s="18" t="n">
        <v>8008526383</v>
      </c>
      <c r="C50" s="28" t="n">
        <v>8008526388</v>
      </c>
      <c r="D50" s="28" t="n">
        <v>8008527817</v>
      </c>
      <c r="E50" s="28"/>
      <c r="F50" s="28"/>
      <c r="G50" s="28"/>
      <c r="H50" s="28"/>
      <c r="I50" s="28"/>
      <c r="J50" s="28"/>
      <c r="K50" s="28"/>
    </row>
    <row r="51" customFormat="false" ht="12.8" hidden="false" customHeight="false" outlineLevel="0" collapsed="false">
      <c r="A51" s="18" t="str">
        <f aca="false">IFERROR(__xludf.dummyfunction("""COMPUTED_VALUE"""),"Отгрузка")</f>
        <v>Отгрузка</v>
      </c>
      <c r="B51" s="18" t="n">
        <v>8008527673</v>
      </c>
      <c r="C51" s="28" t="n">
        <v>8008527698</v>
      </c>
      <c r="D51" s="28"/>
      <c r="E51" s="28"/>
      <c r="F51" s="28"/>
      <c r="G51" s="28"/>
      <c r="H51" s="28"/>
      <c r="I51" s="28"/>
      <c r="J51" s="28"/>
      <c r="K51" s="28"/>
    </row>
    <row r="52" customFormat="false" ht="12.8" hidden="false" customHeight="false" outlineLevel="0" collapsed="false">
      <c r="A52" s="18" t="str">
        <f aca="false">IFERROR(__xludf.dummyfunction("""COMPUTED_VALUE"""),"Приёмка")</f>
        <v>Приёмка</v>
      </c>
      <c r="B52" s="18" t="n">
        <v>8008524218</v>
      </c>
      <c r="C52" s="28" t="n">
        <v>8008527777</v>
      </c>
      <c r="D52" s="28"/>
      <c r="E52" s="28"/>
      <c r="F52" s="28"/>
      <c r="G52" s="28"/>
      <c r="H52" s="28"/>
      <c r="I52" s="28"/>
      <c r="J52" s="28"/>
      <c r="K52" s="28"/>
    </row>
    <row r="53" customFormat="false" ht="12.8" hidden="false" customHeight="false" outlineLevel="0" collapsed="false">
      <c r="A53" s="18" t="str">
        <f aca="false">IFERROR(__xludf.dummyfunction("""COMPUTED_VALUE"""),"Отгрузка")</f>
        <v>Отгрузка</v>
      </c>
      <c r="B53" s="18" t="n">
        <v>8008521887</v>
      </c>
      <c r="C53" s="28" t="n">
        <v>8008525793</v>
      </c>
      <c r="D53" s="28" t="n">
        <v>8008525795</v>
      </c>
      <c r="E53" s="28"/>
      <c r="F53" s="28"/>
      <c r="G53" s="28"/>
      <c r="H53" s="28"/>
      <c r="I53" s="28"/>
      <c r="J53" s="28"/>
      <c r="K53" s="28"/>
    </row>
    <row r="54" customFormat="false" ht="12.8" hidden="false" customHeight="false" outlineLevel="0" collapsed="false">
      <c r="A54" s="18" t="str">
        <f aca="false">IFERROR(__xludf.dummyfunction("""COMPUTED_VALUE"""),"Отгрузка")</f>
        <v>Отгрузка</v>
      </c>
      <c r="B54" s="18" t="n">
        <v>8008529845</v>
      </c>
      <c r="C54" s="28" t="n">
        <v>8008529847</v>
      </c>
      <c r="D54" s="28"/>
      <c r="E54" s="28"/>
      <c r="F54" s="28"/>
      <c r="G54" s="28"/>
      <c r="H54" s="28"/>
      <c r="I54" s="28"/>
      <c r="J54" s="28"/>
      <c r="K54" s="28"/>
    </row>
    <row r="55" customFormat="false" ht="12.8" hidden="false" customHeight="false" outlineLevel="0" collapsed="false">
      <c r="A55" s="18" t="str">
        <f aca="false">IFERROR(__xludf.dummyfunction("""COMPUTED_VALUE"""),"Отгрузка")</f>
        <v>Отгрузка</v>
      </c>
      <c r="B55" s="18" t="n">
        <v>8008530107</v>
      </c>
      <c r="C55" s="28" t="n">
        <v>8008530200</v>
      </c>
      <c r="D55" s="28"/>
      <c r="E55" s="28"/>
      <c r="F55" s="28"/>
      <c r="G55" s="28"/>
      <c r="H55" s="28"/>
      <c r="I55" s="28"/>
      <c r="J55" s="28"/>
      <c r="K55" s="28"/>
    </row>
    <row r="56" customFormat="false" ht="12.8" hidden="false" customHeight="false" outlineLevel="0" collapsed="false">
      <c r="A56" s="18" t="str">
        <f aca="false">IFERROR(__xludf.dummyfunction("""COMPUTED_VALUE"""),"Отгрузка")</f>
        <v>Отгрузка</v>
      </c>
      <c r="B56" s="18" t="n">
        <v>8008532548</v>
      </c>
      <c r="C56" s="28" t="n">
        <v>8008532588</v>
      </c>
      <c r="D56" s="28" t="n">
        <v>8008533158</v>
      </c>
      <c r="E56" s="28" t="n">
        <v>8008533349</v>
      </c>
      <c r="F56" s="28"/>
      <c r="G56" s="28"/>
      <c r="H56" s="28"/>
      <c r="I56" s="28"/>
      <c r="J56" s="28"/>
      <c r="K56" s="28"/>
    </row>
    <row r="57" customFormat="false" ht="12.8" hidden="false" customHeight="false" outlineLevel="0" collapsed="false">
      <c r="A57" s="18" t="str">
        <f aca="false">IFERROR(__xludf.dummyfunction("""COMPUTED_VALUE"""),"Отгрузка")</f>
        <v>Отгрузка</v>
      </c>
      <c r="B57" s="18" t="n">
        <v>8008533375</v>
      </c>
      <c r="C57" s="28" t="n">
        <v>8008533376</v>
      </c>
      <c r="D57" s="28"/>
      <c r="E57" s="28"/>
      <c r="F57" s="28"/>
      <c r="G57" s="28"/>
      <c r="H57" s="28"/>
      <c r="I57" s="28"/>
      <c r="J57" s="28"/>
      <c r="K57" s="28"/>
    </row>
    <row r="58" customFormat="false" ht="12.8" hidden="false" customHeight="false" outlineLevel="0" collapsed="false">
      <c r="A58" s="18" t="str">
        <f aca="false">IFERROR(__xludf.dummyfunction("""COMPUTED_VALUE"""),"Отгрузка")</f>
        <v>Отгрузка</v>
      </c>
      <c r="B58" s="18" t="n">
        <v>8008532643</v>
      </c>
      <c r="C58" s="28" t="n">
        <v>8008532887</v>
      </c>
      <c r="D58" s="28"/>
      <c r="E58" s="28"/>
      <c r="F58" s="28"/>
      <c r="G58" s="28"/>
      <c r="H58" s="28"/>
      <c r="I58" s="28"/>
      <c r="J58" s="28"/>
      <c r="K58" s="28"/>
    </row>
    <row r="59" customFormat="false" ht="12.8" hidden="false" customHeight="false" outlineLevel="0" collapsed="false">
      <c r="A59" s="18" t="str">
        <f aca="false">IFERROR(__xludf.dummyfunction("""COMPUTED_VALUE"""),"Приёмка")</f>
        <v>Приёмка</v>
      </c>
      <c r="B59" s="18" t="n">
        <v>8008533211</v>
      </c>
      <c r="C59" s="28"/>
      <c r="D59" s="28"/>
      <c r="E59" s="28"/>
      <c r="F59" s="28"/>
      <c r="G59" s="28"/>
      <c r="H59" s="28"/>
      <c r="I59" s="28"/>
      <c r="J59" s="28"/>
      <c r="K59" s="28"/>
    </row>
    <row r="60" customFormat="false" ht="12.8" hidden="false" customHeight="false" outlineLevel="0" collapsed="false">
      <c r="A60" s="18" t="str">
        <f aca="false">IFERROR(__xludf.dummyfunction("""COMPUTED_VALUE"""),"Отгрузка")</f>
        <v>Отгрузка</v>
      </c>
      <c r="B60" s="18" t="n">
        <v>8008533089</v>
      </c>
      <c r="C60" s="28" t="n">
        <v>8008533160</v>
      </c>
      <c r="D60" s="28"/>
      <c r="E60" s="28"/>
      <c r="F60" s="28"/>
      <c r="G60" s="28"/>
      <c r="H60" s="28"/>
      <c r="I60" s="28"/>
      <c r="J60" s="28"/>
      <c r="K60" s="28"/>
    </row>
    <row r="61" customFormat="false" ht="12.8" hidden="false" customHeight="false" outlineLevel="0" collapsed="false">
      <c r="A61" s="18" t="str">
        <f aca="false">IFERROR(__xludf.dummyfunction("""COMPUTED_VALUE"""),"Отгрузка")</f>
        <v>Отгрузка</v>
      </c>
      <c r="B61" s="18" t="n">
        <v>8008529862</v>
      </c>
      <c r="C61" s="28" t="n">
        <v>8008530578</v>
      </c>
      <c r="D61" s="28"/>
      <c r="E61" s="28"/>
      <c r="F61" s="28"/>
      <c r="G61" s="28"/>
      <c r="H61" s="28"/>
      <c r="I61" s="28"/>
      <c r="J61" s="28"/>
      <c r="K61" s="28"/>
    </row>
    <row r="62" customFormat="false" ht="12.8" hidden="false" customHeight="false" outlineLevel="0" collapsed="false">
      <c r="A62" s="18" t="str">
        <f aca="false">IFERROR(__xludf.dummyfunction("""COMPUTED_VALUE"""),"Отгрузка")</f>
        <v>Отгрузка</v>
      </c>
      <c r="B62" s="18" t="n">
        <v>8008535368</v>
      </c>
      <c r="C62" s="28" t="n">
        <v>8008535468</v>
      </c>
      <c r="D62" s="28" t="n">
        <v>8008535487</v>
      </c>
      <c r="E62" s="28" t="n">
        <v>8008535525</v>
      </c>
      <c r="F62" s="28" t="n">
        <v>8008535994</v>
      </c>
      <c r="G62" s="28"/>
      <c r="H62" s="28"/>
      <c r="I62" s="28"/>
      <c r="J62" s="28"/>
      <c r="K62" s="28"/>
    </row>
    <row r="63" customFormat="false" ht="12.8" hidden="false" customHeight="false" outlineLevel="0" collapsed="false">
      <c r="A63" s="18" t="str">
        <f aca="false">IFERROR(__xludf.dummyfunction("""COMPUTED_VALUE"""),"Отгрузка")</f>
        <v>Отгрузка</v>
      </c>
      <c r="B63" s="18" t="n">
        <v>8008530185</v>
      </c>
      <c r="C63" s="28" t="n">
        <v>8008530191</v>
      </c>
      <c r="D63" s="28" t="n">
        <v>8008533023</v>
      </c>
      <c r="E63" s="28" t="n">
        <v>8008536066</v>
      </c>
      <c r="F63" s="28"/>
      <c r="G63" s="28"/>
      <c r="H63" s="28"/>
      <c r="I63" s="28"/>
      <c r="J63" s="28"/>
      <c r="K63" s="28"/>
    </row>
    <row r="64" customFormat="false" ht="12.8" hidden="false" customHeight="false" outlineLevel="0" collapsed="false">
      <c r="A64" s="18" t="str">
        <f aca="false">IFERROR(__xludf.dummyfunction("""COMPUTED_VALUE"""),"Отгрузка")</f>
        <v>Отгрузка</v>
      </c>
      <c r="B64" s="18" t="n">
        <v>8008529892</v>
      </c>
      <c r="C64" s="28" t="n">
        <v>8008533228</v>
      </c>
      <c r="D64" s="28" t="n">
        <v>8008534371</v>
      </c>
      <c r="E64" s="28" t="n">
        <v>8008534377</v>
      </c>
      <c r="F64" s="28"/>
      <c r="G64" s="28"/>
      <c r="H64" s="28"/>
      <c r="I64" s="28"/>
      <c r="J64" s="28"/>
      <c r="K64" s="28"/>
    </row>
    <row r="65" customFormat="false" ht="12.8" hidden="false" customHeight="false" outlineLevel="0" collapsed="false">
      <c r="A65" s="18" t="str">
        <f aca="false">IFERROR(__xludf.dummyfunction("""COMPUTED_VALUE"""),"Отгрузка")</f>
        <v>Отгрузка</v>
      </c>
      <c r="B65" s="18" t="n">
        <v>8008536113</v>
      </c>
      <c r="C65" s="28" t="n">
        <v>8008536115</v>
      </c>
      <c r="D65" s="28" t="n">
        <v>8008536127</v>
      </c>
      <c r="E65" s="28"/>
      <c r="F65" s="28"/>
      <c r="G65" s="28"/>
      <c r="H65" s="28"/>
      <c r="I65" s="28"/>
      <c r="J65" s="28"/>
      <c r="K65" s="28"/>
    </row>
    <row r="66" customFormat="false" ht="12.8" hidden="false" customHeight="false" outlineLevel="0" collapsed="false">
      <c r="A66" s="18" t="str">
        <f aca="false">IFERROR(__xludf.dummyfunction("""COMPUTED_VALUE"""),"Отгрузка")</f>
        <v>Отгрузка</v>
      </c>
      <c r="B66" s="18" t="n">
        <v>8008531158</v>
      </c>
      <c r="C66" s="28" t="n">
        <v>8008531210</v>
      </c>
      <c r="D66" s="28" t="n">
        <v>8008532636</v>
      </c>
      <c r="E66" s="28" t="n">
        <v>8008533110</v>
      </c>
      <c r="F66" s="28" t="n">
        <v>8008533910</v>
      </c>
      <c r="G66" s="28"/>
      <c r="H66" s="28"/>
      <c r="I66" s="28"/>
      <c r="J66" s="28"/>
      <c r="K66" s="28"/>
    </row>
    <row r="67" customFormat="false" ht="12.8" hidden="false" customHeight="false" outlineLevel="0" collapsed="false">
      <c r="A67" s="18" t="str">
        <f aca="false">IFERROR(__xludf.dummyfunction("""COMPUTED_VALUE"""),"Отгрузка")</f>
        <v>Отгрузка</v>
      </c>
      <c r="B67" s="18" t="n">
        <v>8008536767</v>
      </c>
      <c r="C67" s="28" t="n">
        <v>8008537643</v>
      </c>
      <c r="D67" s="28" t="n">
        <v>8008538175</v>
      </c>
      <c r="E67" s="28" t="n">
        <v>8008538640</v>
      </c>
      <c r="F67" s="28"/>
      <c r="G67" s="28"/>
      <c r="H67" s="28"/>
      <c r="I67" s="28"/>
      <c r="J67" s="28"/>
      <c r="K67" s="28"/>
    </row>
    <row r="68" customFormat="false" ht="12.8" hidden="false" customHeight="false" outlineLevel="0" collapsed="false">
      <c r="A68" s="18" t="str">
        <f aca="false">IFERROR(__xludf.dummyfunction("""COMPUTED_VALUE"""),"Приёмка")</f>
        <v>Приёмка</v>
      </c>
      <c r="B68" s="18" t="n">
        <v>8008538166</v>
      </c>
      <c r="C68" s="28"/>
      <c r="D68" s="28"/>
      <c r="E68" s="28"/>
      <c r="F68" s="28"/>
      <c r="G68" s="28"/>
      <c r="H68" s="28"/>
      <c r="I68" s="28"/>
      <c r="J68" s="28"/>
      <c r="K68" s="28"/>
    </row>
    <row r="69" customFormat="false" ht="12.8" hidden="false" customHeight="false" outlineLevel="0" collapsed="false">
      <c r="A69" s="18" t="str">
        <f aca="false">IFERROR(__xludf.dummyfunction("""COMPUTED_VALUE"""),"Отгрузка")</f>
        <v>Отгрузка</v>
      </c>
      <c r="B69" s="18" t="n">
        <v>8008442881</v>
      </c>
      <c r="C69" s="28" t="n">
        <v>8008527327</v>
      </c>
      <c r="D69" s="28"/>
      <c r="E69" s="28"/>
      <c r="F69" s="28"/>
      <c r="G69" s="28"/>
      <c r="H69" s="28"/>
      <c r="I69" s="28"/>
      <c r="J69" s="28"/>
      <c r="K69" s="28"/>
    </row>
    <row r="70" customFormat="false" ht="12.8" hidden="false" customHeight="false" outlineLevel="0" collapsed="false">
      <c r="A70" s="18" t="str">
        <f aca="false">IFERROR(__xludf.dummyfunction("""COMPUTED_VALUE"""),"Отгрузка")</f>
        <v>Отгрузка</v>
      </c>
      <c r="B70" s="18" t="n">
        <v>8008469261</v>
      </c>
      <c r="C70" s="28"/>
      <c r="D70" s="28"/>
      <c r="E70" s="28"/>
      <c r="F70" s="28"/>
      <c r="G70" s="28"/>
      <c r="H70" s="28"/>
      <c r="I70" s="28"/>
      <c r="J70" s="28"/>
      <c r="K70" s="28"/>
    </row>
    <row r="71" customFormat="false" ht="12.8" hidden="false" customHeight="false" outlineLevel="0" collapsed="false">
      <c r="A71" s="18" t="str">
        <f aca="false">IFERROR(__xludf.dummyfunction("""COMPUTED_VALUE"""),"Отгрузка")</f>
        <v>Отгрузка</v>
      </c>
      <c r="B71" s="18" t="n">
        <v>8008540931</v>
      </c>
      <c r="C71" s="28" t="n">
        <v>8008540932</v>
      </c>
      <c r="D71" s="28"/>
      <c r="E71" s="28"/>
      <c r="F71" s="28"/>
      <c r="G71" s="28"/>
      <c r="H71" s="28"/>
      <c r="I71" s="28"/>
      <c r="J71" s="28"/>
      <c r="K71" s="28"/>
    </row>
    <row r="72" customFormat="false" ht="12.8" hidden="false" customHeight="false" outlineLevel="0" collapsed="false">
      <c r="A72" s="18" t="str">
        <f aca="false">IFERROR(__xludf.dummyfunction("""COMPUTED_VALUE"""),"Отгрузка")</f>
        <v>Отгрузка</v>
      </c>
      <c r="B72" s="18" t="n">
        <v>8008543131</v>
      </c>
      <c r="C72" s="28" t="n">
        <v>8008543898</v>
      </c>
      <c r="D72" s="28" t="n">
        <v>8008543909</v>
      </c>
      <c r="E72" s="28"/>
      <c r="F72" s="28"/>
      <c r="G72" s="28"/>
      <c r="H72" s="28"/>
      <c r="I72" s="28"/>
      <c r="J72" s="28"/>
      <c r="K72" s="28"/>
    </row>
    <row r="73" customFormat="false" ht="12.8" hidden="false" customHeight="false" outlineLevel="0" collapsed="false">
      <c r="A73" s="18" t="str">
        <f aca="false">IFERROR(__xludf.dummyfunction("""COMPUTED_VALUE"""),"Отгрузка")</f>
        <v>Отгрузка</v>
      </c>
      <c r="B73" s="18" t="n">
        <v>8008540875</v>
      </c>
      <c r="C73" s="28" t="n">
        <v>8008542792</v>
      </c>
      <c r="D73" s="28" t="n">
        <v>8008543064</v>
      </c>
      <c r="E73" s="28" t="n">
        <v>8008543258</v>
      </c>
      <c r="F73" s="28"/>
      <c r="G73" s="28"/>
      <c r="H73" s="28"/>
      <c r="I73" s="28"/>
      <c r="J73" s="28"/>
      <c r="K73" s="28"/>
    </row>
    <row r="74" customFormat="false" ht="12.8" hidden="false" customHeight="false" outlineLevel="0" collapsed="false">
      <c r="A74" s="18" t="str">
        <f aca="false">IFERROR(__xludf.dummyfunction("""COMPUTED_VALUE"""),"Отгрузка")</f>
        <v>Отгрузка</v>
      </c>
      <c r="B74" s="18" t="n">
        <v>8008532930</v>
      </c>
      <c r="C74" s="28" t="n">
        <v>8008532964</v>
      </c>
      <c r="D74" s="28"/>
      <c r="E74" s="28"/>
      <c r="F74" s="28"/>
      <c r="G74" s="28"/>
      <c r="H74" s="28"/>
      <c r="I74" s="28"/>
      <c r="J74" s="28"/>
      <c r="K74" s="28"/>
    </row>
    <row r="75" customFormat="false" ht="12.8" hidden="false" customHeight="false" outlineLevel="0" collapsed="false">
      <c r="A75" s="18" t="str">
        <f aca="false">IFERROR(__xludf.dummyfunction("""COMPUTED_VALUE"""),"Отгрузка")</f>
        <v>Отгрузка</v>
      </c>
      <c r="B75" s="18" t="n">
        <v>8008543768</v>
      </c>
      <c r="C75" s="28"/>
      <c r="D75" s="28"/>
      <c r="E75" s="28"/>
      <c r="F75" s="28"/>
      <c r="G75" s="28"/>
      <c r="H75" s="28"/>
      <c r="I75" s="28"/>
      <c r="J75" s="28"/>
      <c r="K75" s="28"/>
    </row>
    <row r="76" customFormat="false" ht="12.8" hidden="false" customHeight="false" outlineLevel="0" collapsed="false">
      <c r="A76" s="18" t="str">
        <f aca="false">IFERROR(__xludf.dummyfunction("""COMPUTED_VALUE"""),"Отгрузка")</f>
        <v>Отгрузка</v>
      </c>
      <c r="B76" s="18" t="n">
        <v>8008543544</v>
      </c>
      <c r="C76" s="28"/>
      <c r="D76" s="28"/>
      <c r="E76" s="28"/>
      <c r="F76" s="28"/>
      <c r="G76" s="28"/>
      <c r="H76" s="28"/>
      <c r="I76" s="28"/>
      <c r="J76" s="28"/>
      <c r="K76" s="28"/>
    </row>
    <row r="77" customFormat="false" ht="12.8" hidden="false" customHeight="false" outlineLevel="0" collapsed="false">
      <c r="A77" s="18" t="str">
        <f aca="false">IFERROR(__xludf.dummyfunction("""COMPUTED_VALUE"""),"Приёмка")</f>
        <v>Приёмка</v>
      </c>
      <c r="B77" s="18" t="n">
        <v>8008540882</v>
      </c>
      <c r="C77" s="28" t="n">
        <v>8008543828</v>
      </c>
      <c r="D77" s="28"/>
      <c r="E77" s="28"/>
      <c r="F77" s="28"/>
      <c r="G77" s="28"/>
      <c r="H77" s="28"/>
      <c r="I77" s="28"/>
      <c r="J77" s="28"/>
      <c r="K77" s="28"/>
    </row>
    <row r="78" customFormat="false" ht="12.8" hidden="false" customHeight="false" outlineLevel="0" collapsed="false">
      <c r="A78" s="18" t="str">
        <f aca="false">IFERROR(__xludf.dummyfunction("""COMPUTED_VALUE"""),"Отгрузка")</f>
        <v>Отгрузка</v>
      </c>
      <c r="B78" s="18" t="n">
        <v>8008531120</v>
      </c>
      <c r="C78" s="28" t="n">
        <v>8008531149</v>
      </c>
      <c r="D78" s="28" t="n">
        <v>8008531166</v>
      </c>
      <c r="E78" s="28"/>
      <c r="F78" s="28"/>
      <c r="G78" s="28"/>
      <c r="H78" s="28"/>
      <c r="I78" s="28"/>
      <c r="J78" s="28"/>
      <c r="K78" s="28"/>
    </row>
    <row r="79" customFormat="false" ht="12.8" hidden="false" customHeight="false" outlineLevel="0" collapsed="false">
      <c r="A79" s="18" t="str">
        <f aca="false">IFERROR(__xludf.dummyfunction("""COMPUTED_VALUE"""),"Отгрузка")</f>
        <v>Отгрузка</v>
      </c>
      <c r="B79" s="18" t="n">
        <v>8008469244</v>
      </c>
      <c r="C79" s="28"/>
      <c r="D79" s="28"/>
      <c r="E79" s="28"/>
      <c r="F79" s="28"/>
      <c r="G79" s="28"/>
      <c r="H79" s="28"/>
      <c r="I79" s="28"/>
      <c r="J79" s="28"/>
      <c r="K79" s="28"/>
    </row>
    <row r="80" customFormat="false" ht="12.8" hidden="false" customHeight="false" outlineLevel="0" collapsed="false">
      <c r="A80" s="18" t="str">
        <f aca="false">IFERROR(__xludf.dummyfunction("""COMPUTED_VALUE"""),"Отгрузка")</f>
        <v>Отгрузка</v>
      </c>
      <c r="B80" s="18" t="n">
        <v>8008545002</v>
      </c>
      <c r="C80" s="28" t="n">
        <v>8008546424</v>
      </c>
      <c r="D80" s="28"/>
      <c r="E80" s="28"/>
      <c r="F80" s="28"/>
      <c r="G80" s="28"/>
      <c r="H80" s="28"/>
      <c r="I80" s="28"/>
      <c r="J80" s="28"/>
      <c r="K80" s="28"/>
    </row>
    <row r="81" customFormat="false" ht="12.8" hidden="false" customHeight="false" outlineLevel="0" collapsed="false">
      <c r="A81" s="18" t="str">
        <f aca="false">IFERROR(__xludf.dummyfunction("""COMPUTED_VALUE"""),"Отгрузка")</f>
        <v>Отгрузка</v>
      </c>
      <c r="B81" s="18" t="n">
        <v>8008547242</v>
      </c>
      <c r="C81" s="28" t="n">
        <v>8008547248</v>
      </c>
      <c r="D81" s="28"/>
      <c r="E81" s="28"/>
      <c r="F81" s="28"/>
      <c r="G81" s="28"/>
      <c r="H81" s="28"/>
      <c r="I81" s="28"/>
      <c r="J81" s="28"/>
      <c r="K81" s="28"/>
    </row>
    <row r="82" customFormat="false" ht="12.8" hidden="false" customHeight="false" outlineLevel="0" collapsed="false">
      <c r="A82" s="18" t="str">
        <f aca="false">IFERROR(__xludf.dummyfunction("""COMPUTED_VALUE"""),"Отгрузка")</f>
        <v>Отгрузка</v>
      </c>
      <c r="B82" s="18" t="n">
        <v>8008547163</v>
      </c>
      <c r="C82" s="28"/>
      <c r="D82" s="28"/>
      <c r="E82" s="28"/>
      <c r="F82" s="28"/>
      <c r="G82" s="28"/>
      <c r="H82" s="28"/>
      <c r="I82" s="28"/>
      <c r="J82" s="28"/>
      <c r="K82" s="28"/>
    </row>
    <row r="83" customFormat="false" ht="12.8" hidden="false" customHeight="false" outlineLevel="0" collapsed="false">
      <c r="A83" s="18" t="str">
        <f aca="false">IFERROR(__xludf.dummyfunction("""COMPUTED_VALUE"""),"Отгрузка")</f>
        <v>Отгрузка</v>
      </c>
      <c r="B83" s="18" t="n">
        <v>8008547052</v>
      </c>
      <c r="C83" s="28" t="n">
        <v>8008547155</v>
      </c>
      <c r="D83" s="28" t="n">
        <v>8008550526</v>
      </c>
      <c r="E83" s="28"/>
      <c r="F83" s="28"/>
      <c r="G83" s="28"/>
      <c r="H83" s="28"/>
      <c r="I83" s="28"/>
      <c r="J83" s="28"/>
      <c r="K83" s="28"/>
    </row>
    <row r="84" customFormat="false" ht="12.8" hidden="false" customHeight="false" outlineLevel="0" collapsed="false">
      <c r="A84" s="18" t="str">
        <f aca="false">IFERROR(__xludf.dummyfunction("""COMPUTED_VALUE"""),"Приёмка")</f>
        <v>Приёмка</v>
      </c>
      <c r="B84" s="18" t="n">
        <v>8008550754</v>
      </c>
      <c r="C84" s="28" t="n">
        <v>8008550805</v>
      </c>
      <c r="D84" s="28"/>
      <c r="E84" s="28"/>
      <c r="F84" s="28"/>
      <c r="G84" s="28"/>
      <c r="H84" s="28"/>
      <c r="I84" s="28"/>
      <c r="J84" s="28"/>
      <c r="K84" s="28"/>
    </row>
    <row r="85" customFormat="false" ht="12.8" hidden="false" customHeight="false" outlineLevel="0" collapsed="false">
      <c r="A85" s="18" t="str">
        <f aca="false">IFERROR(__xludf.dummyfunction("""COMPUTED_VALUE"""),"Отгрузка")</f>
        <v>Отгрузка</v>
      </c>
      <c r="B85" s="18" t="n">
        <v>8008547986</v>
      </c>
      <c r="C85" s="28" t="n">
        <v>8008548011</v>
      </c>
      <c r="D85" s="28"/>
      <c r="E85" s="28"/>
      <c r="F85" s="28"/>
      <c r="G85" s="28"/>
      <c r="H85" s="28"/>
      <c r="I85" s="28"/>
      <c r="J85" s="28"/>
      <c r="K85" s="28"/>
    </row>
    <row r="86" customFormat="false" ht="12.8" hidden="false" customHeight="false" outlineLevel="0" collapsed="false">
      <c r="A86" s="18" t="str">
        <f aca="false">IFERROR(__xludf.dummyfunction("""COMPUTED_VALUE"""),"Отгрузка")</f>
        <v>Отгрузка</v>
      </c>
      <c r="B86" s="18" t="n">
        <v>8008550492</v>
      </c>
      <c r="C86" s="28"/>
      <c r="D86" s="28"/>
      <c r="E86" s="28"/>
      <c r="F86" s="28"/>
      <c r="G86" s="28"/>
      <c r="H86" s="28"/>
      <c r="I86" s="28"/>
      <c r="J86" s="28"/>
      <c r="K86" s="28"/>
    </row>
    <row r="87" customFormat="false" ht="12.8" hidden="false" customHeight="false" outlineLevel="0" collapsed="false">
      <c r="A87" s="18" t="str">
        <f aca="false">IFERROR(__xludf.dummyfunction("""COMPUTED_VALUE"""),"Отгрузка")</f>
        <v>Отгрузка</v>
      </c>
      <c r="B87" s="18" t="n">
        <v>8008552215</v>
      </c>
      <c r="C87" s="28" t="n">
        <v>8008552247</v>
      </c>
      <c r="D87" s="28" t="n">
        <v>8008553573</v>
      </c>
      <c r="E87" s="28" t="n">
        <v>8008553576</v>
      </c>
      <c r="F87" s="28" t="n">
        <v>8008554471</v>
      </c>
      <c r="G87" s="28"/>
      <c r="H87" s="28"/>
      <c r="I87" s="28"/>
      <c r="J87" s="28"/>
      <c r="K87" s="28"/>
    </row>
    <row r="88" customFormat="false" ht="12.8" hidden="false" customHeight="false" outlineLevel="0" collapsed="false">
      <c r="A88" s="18" t="str">
        <f aca="false">IFERROR(__xludf.dummyfunction("""COMPUTED_VALUE"""),"Отгрузка")</f>
        <v>Отгрузка</v>
      </c>
      <c r="B88" s="18" t="n">
        <v>8008540620</v>
      </c>
      <c r="C88" s="28" t="n">
        <v>8008540659</v>
      </c>
      <c r="D88" s="28" t="n">
        <v>8008540668</v>
      </c>
      <c r="E88" s="28" t="n">
        <v>8008552511</v>
      </c>
      <c r="F88" s="28"/>
      <c r="G88" s="28"/>
      <c r="H88" s="28"/>
      <c r="I88" s="28"/>
      <c r="J88" s="28"/>
      <c r="K88" s="28"/>
    </row>
    <row r="89" customFormat="false" ht="12.8" hidden="false" customHeight="false" outlineLevel="0" collapsed="false">
      <c r="A89" s="18" t="str">
        <f aca="false">IFERROR(__xludf.dummyfunction("""COMPUTED_VALUE"""),"Отгрузка")</f>
        <v>Отгрузка</v>
      </c>
      <c r="B89" s="18" t="n">
        <v>8008550297</v>
      </c>
      <c r="C89" s="28"/>
      <c r="D89" s="28"/>
      <c r="E89" s="28"/>
      <c r="F89" s="28"/>
      <c r="G89" s="28"/>
      <c r="H89" s="28"/>
      <c r="I89" s="28"/>
      <c r="J89" s="28"/>
      <c r="K89" s="28"/>
    </row>
    <row r="90" customFormat="false" ht="12.8" hidden="false" customHeight="false" outlineLevel="0" collapsed="false">
      <c r="A90" s="18" t="str">
        <f aca="false">IFERROR(__xludf.dummyfunction("""COMPUTED_VALUE"""),"Отгрузка")</f>
        <v>Отгрузка</v>
      </c>
      <c r="B90" s="18" t="n">
        <v>8008544629</v>
      </c>
      <c r="C90" s="28" t="n">
        <v>8008547193</v>
      </c>
      <c r="D90" s="28" t="n">
        <v>8008547232</v>
      </c>
      <c r="E90" s="28" t="n">
        <v>8008548428</v>
      </c>
      <c r="F90" s="28" t="n">
        <v>8008554022</v>
      </c>
      <c r="G90" s="28" t="n">
        <v>8008557482</v>
      </c>
      <c r="H90" s="28"/>
      <c r="I90" s="28"/>
      <c r="J90" s="28"/>
      <c r="K90" s="28"/>
    </row>
    <row r="91" customFormat="false" ht="12.8" hidden="false" customHeight="false" outlineLevel="0" collapsed="false">
      <c r="A91" s="18" t="str">
        <f aca="false">IFERROR(__xludf.dummyfunction("""COMPUTED_VALUE"""),"Приёмка")</f>
        <v>Приёмка</v>
      </c>
      <c r="B91" s="18" t="n">
        <v>17061862</v>
      </c>
      <c r="C91" s="28"/>
      <c r="D91" s="28"/>
      <c r="E91" s="28"/>
      <c r="F91" s="28"/>
      <c r="G91" s="28"/>
      <c r="H91" s="28"/>
      <c r="I91" s="28"/>
      <c r="J91" s="28"/>
      <c r="K91" s="28"/>
    </row>
    <row r="92" customFormat="false" ht="12.8" hidden="false" customHeight="false" outlineLevel="0" collapsed="false">
      <c r="A92" s="18" t="str">
        <f aca="false">IFERROR(__xludf.dummyfunction("""COMPUTED_VALUE"""),"Отгрузка")</f>
        <v>Отгрузка</v>
      </c>
      <c r="B92" s="18" t="n">
        <v>8008546706</v>
      </c>
      <c r="C92" s="28" t="n">
        <v>8008554791</v>
      </c>
      <c r="D92" s="28" t="n">
        <v>8008555281</v>
      </c>
      <c r="E92" s="28" t="n">
        <v>8008555779</v>
      </c>
      <c r="F92" s="28"/>
      <c r="G92" s="28"/>
      <c r="H92" s="28"/>
      <c r="I92" s="28"/>
      <c r="J92" s="28"/>
      <c r="K92" s="28"/>
    </row>
    <row r="93" customFormat="false" ht="12.8" hidden="false" customHeight="false" outlineLevel="0" collapsed="false">
      <c r="A93" s="18" t="str">
        <f aca="false">IFERROR(__xludf.dummyfunction("""COMPUTED_VALUE"""),"Отгрузка")</f>
        <v>Отгрузка</v>
      </c>
      <c r="B93" s="18" t="n">
        <v>8008555971</v>
      </c>
      <c r="C93" s="28" t="n">
        <v>8008555983</v>
      </c>
      <c r="D93" s="28" t="n">
        <v>8008557797</v>
      </c>
      <c r="E93" s="28"/>
      <c r="F93" s="28"/>
      <c r="G93" s="28"/>
      <c r="H93" s="28"/>
      <c r="I93" s="28"/>
      <c r="J93" s="28"/>
      <c r="K93" s="28"/>
    </row>
    <row r="94" customFormat="false" ht="12.8" hidden="false" customHeight="false" outlineLevel="0" collapsed="false">
      <c r="A94" s="18" t="str">
        <f aca="false">IFERROR(__xludf.dummyfunction("""COMPUTED_VALUE"""),"Отгрузка")</f>
        <v>Отгрузка</v>
      </c>
      <c r="B94" s="18" t="n">
        <v>8008554736</v>
      </c>
      <c r="C94" s="28"/>
      <c r="D94" s="28"/>
      <c r="E94" s="28"/>
      <c r="F94" s="28"/>
      <c r="G94" s="28"/>
      <c r="H94" s="28"/>
      <c r="I94" s="28"/>
      <c r="J94" s="28"/>
      <c r="K94" s="28"/>
    </row>
    <row r="95" customFormat="false" ht="12.8" hidden="false" customHeight="false" outlineLevel="0" collapsed="false">
      <c r="A95" s="18" t="str">
        <f aca="false">IFERROR(__xludf.dummyfunction("""COMPUTED_VALUE"""),"Отгрузка")</f>
        <v>Отгрузка</v>
      </c>
      <c r="B95" s="18" t="n">
        <v>8008552221</v>
      </c>
      <c r="C95" s="28" t="n">
        <v>8008554476</v>
      </c>
      <c r="D95" s="28" t="n">
        <v>8008554481</v>
      </c>
      <c r="E95" s="28" t="n">
        <v>8008554488</v>
      </c>
      <c r="F95" s="28" t="n">
        <v>8008554492</v>
      </c>
      <c r="G95" s="28" t="n">
        <v>8008555469</v>
      </c>
      <c r="H95" s="28" t="n">
        <v>8008555972</v>
      </c>
      <c r="I95" s="28"/>
      <c r="J95" s="28"/>
      <c r="K95" s="28"/>
    </row>
    <row r="96" customFormat="false" ht="12.8" hidden="false" customHeight="false" outlineLevel="0" collapsed="false">
      <c r="A96" s="18" t="str">
        <f aca="false">IFERROR(__xludf.dummyfunction("""COMPUTED_VALUE"""),"Отгрузка")</f>
        <v>Отгрузка</v>
      </c>
      <c r="B96" s="18" t="n">
        <v>8008543546</v>
      </c>
      <c r="C96" s="28"/>
      <c r="D96" s="28"/>
      <c r="E96" s="28"/>
      <c r="F96" s="28"/>
      <c r="G96" s="28"/>
      <c r="H96" s="28"/>
      <c r="I96" s="28"/>
      <c r="J96" s="28"/>
      <c r="K96" s="28"/>
    </row>
    <row r="97" customFormat="false" ht="12.8" hidden="false" customHeight="fals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customFormat="false" ht="12.8" hidden="false" customHeight="fals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customFormat="false" ht="12.8" hidden="false" customHeight="fals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customFormat="false" ht="12.8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  <row r="101" customFormat="false" ht="12.8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</row>
    <row r="102" customFormat="false" ht="12.8" hidden="false" customHeight="fals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 customFormat="false" ht="12.8" hidden="false" customHeight="fals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 customFormat="false" ht="12.8" hidden="false" customHeight="fals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 customFormat="false" ht="12.8" hidden="false" customHeight="fals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 customFormat="false" ht="12.8" hidden="false" customHeight="fals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customFormat="false" ht="12.8" hidden="false" customHeight="fals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customFormat="false" ht="12.8" hidden="false" customHeight="fals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 customFormat="false" ht="12.8" hidden="false" customHeight="fals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 customFormat="false" ht="12.8" hidden="false" customHeight="fals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 customFormat="false" ht="12.8" hidden="false" customHeight="fals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customFormat="false" ht="12.8" hidden="false" customHeight="fals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customFormat="false" ht="12.8" hidden="false" customHeight="fals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customFormat="false" ht="12.8" hidden="false" customHeight="fals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customFormat="false" ht="12.8" hidden="false" customHeight="fals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customFormat="false" ht="12.8" hidden="false" customHeight="fals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customFormat="false" ht="12.8" hidden="false" customHeight="fals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customFormat="false" ht="12.8" hidden="false" customHeight="fals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customFormat="false" ht="12.8" hidden="false" customHeight="fals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customFormat="false" ht="12.8" hidden="false" customHeight="fals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customFormat="false" ht="12.8" hidden="false" customHeight="fals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customFormat="false" ht="12.8" hidden="false" customHeight="fals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customFormat="false" ht="12.8" hidden="false" customHeight="fals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customFormat="false" ht="12.8" hidden="false" customHeight="fals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customFormat="false" ht="12.8" hidden="false" customHeight="fals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customFormat="false" ht="12.8" hidden="false" customHeight="fals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customFormat="false" ht="12.8" hidden="false" customHeight="fals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customFormat="false" ht="12.8" hidden="false" customHeight="fals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customFormat="false" ht="12.8" hidden="false" customHeight="fals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customFormat="false" ht="12.8" hidden="false" customHeight="fals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customFormat="false" ht="12.8" hidden="false" customHeight="fals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customFormat="false" ht="12.8" hidden="false" customHeight="fals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customFormat="false" ht="12.8" hidden="false" customHeight="fals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customFormat="false" ht="12.8" hidden="false" customHeight="fals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customFormat="false" ht="12.8" hidden="false" customHeight="fals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customFormat="false" ht="12.8" hidden="false" customHeight="fals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</row>
    <row r="137" customFormat="false" ht="12.8" hidden="false" customHeight="fals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customFormat="false" ht="12.8" hidden="false" customHeight="fals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</row>
    <row r="139" customFormat="false" ht="12.8" hidden="false" customHeight="fals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</row>
    <row r="140" customFormat="false" ht="12.8" hidden="false" customHeight="fals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</row>
    <row r="141" customFormat="false" ht="12.8" hidden="false" customHeight="fals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</row>
    <row r="142" customFormat="false" ht="12.8" hidden="false" customHeight="fals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</row>
    <row r="143" customFormat="false" ht="12.8" hidden="false" customHeight="fals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customFormat="false" ht="12.8" hidden="false" customHeight="fals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</row>
    <row r="145" customFormat="false" ht="12.8" hidden="false" customHeight="fals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</row>
    <row r="146" customFormat="false" ht="12.8" hidden="false" customHeight="fals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customFormat="false" ht="12.8" hidden="false" customHeight="fals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</row>
    <row r="148" customFormat="false" ht="12.8" hidden="false" customHeight="fals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</row>
    <row r="149" customFormat="false" ht="12.8" hidden="false" customHeight="fals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0" customFormat="false" ht="12.8" hidden="false" customHeight="fals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</row>
    <row r="151" customFormat="false" ht="12.8" hidden="false" customHeight="fals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</row>
    <row r="152" customFormat="false" ht="12.8" hidden="false" customHeight="fals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 customFormat="false" ht="12.8" hidden="false" customHeight="fals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</row>
    <row r="154" customFormat="false" ht="12.8" hidden="false" customHeight="fals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customFormat="false" ht="12.8" hidden="false" customHeight="fals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customFormat="false" ht="12.8" hidden="false" customHeight="fals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customFormat="false" ht="12.8" hidden="false" customHeight="fals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customFormat="false" ht="12.8" hidden="false" customHeight="fals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customFormat="false" ht="12.8" hidden="false" customHeight="fals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customFormat="false" ht="12.8" hidden="false" customHeight="fals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customFormat="false" ht="12.8" hidden="false" customHeight="fals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customFormat="false" ht="12.8" hidden="false" customHeight="fals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customFormat="false" ht="12.8" hidden="false" customHeight="fals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customFormat="false" ht="12.8" hidden="false" customHeight="fals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customFormat="false" ht="12.8" hidden="false" customHeight="fals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customFormat="false" ht="12.8" hidden="false" customHeight="fals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</row>
    <row r="167" customFormat="false" ht="12.8" hidden="false" customHeight="fals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customFormat="false" ht="12.8" hidden="false" customHeight="fals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 customFormat="false" ht="12.8" hidden="false" customHeight="fals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customFormat="false" ht="12.8" hidden="false" customHeight="fals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customFormat="false" ht="12.8" hidden="false" customHeight="fals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customFormat="false" ht="12.8" hidden="false" customHeight="fals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customFormat="false" ht="12.8" hidden="false" customHeight="fals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customFormat="false" ht="12.8" hidden="false" customHeight="fals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</row>
    <row r="175" customFormat="false" ht="12.8" hidden="false" customHeight="fals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</row>
    <row r="176" customFormat="false" ht="12.8" hidden="false" customHeight="fals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</row>
    <row r="177" customFormat="false" ht="12.8" hidden="false" customHeight="fals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</row>
    <row r="178" customFormat="false" ht="12.8" hidden="false" customHeight="fals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</row>
    <row r="179" customFormat="false" ht="12.8" hidden="false" customHeight="fals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</row>
    <row r="180" customFormat="false" ht="12.8" hidden="false" customHeight="fals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</row>
    <row r="181" customFormat="false" ht="12.8" hidden="false" customHeight="fals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</row>
    <row r="182" customFormat="false" ht="12.8" hidden="false" customHeight="fals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</row>
    <row r="183" customFormat="false" ht="12.8" hidden="false" customHeight="fals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</row>
    <row r="184" customFormat="false" ht="12.8" hidden="false" customHeight="fals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</row>
    <row r="185" customFormat="false" ht="12.8" hidden="false" customHeight="fals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</row>
    <row r="186" customFormat="false" ht="12.8" hidden="false" customHeight="fals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</row>
    <row r="187" customFormat="false" ht="12.8" hidden="false" customHeight="fals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</row>
    <row r="188" customFormat="false" ht="12.8" hidden="false" customHeight="fals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</row>
    <row r="189" customFormat="false" ht="12.8" hidden="false" customHeight="fals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</row>
    <row r="190" customFormat="false" ht="12.8" hidden="false" customHeight="fals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</row>
    <row r="191" customFormat="false" ht="12.8" hidden="false" customHeight="fals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</row>
    <row r="192" customFormat="false" ht="12.8" hidden="false" customHeight="fals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</row>
    <row r="193" customFormat="false" ht="12.8" hidden="false" customHeight="fals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</row>
    <row r="194" customFormat="false" ht="12.8" hidden="false" customHeight="fals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</row>
    <row r="195" customFormat="false" ht="12.8" hidden="false" customHeight="fals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</row>
    <row r="196" customFormat="false" ht="12.8" hidden="false" customHeight="fals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</row>
    <row r="197" customFormat="false" ht="12.8" hidden="false" customHeight="fals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</row>
    <row r="198" customFormat="false" ht="12.8" hidden="false" customHeight="fals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</row>
    <row r="199" customFormat="false" ht="12.8" hidden="false" customHeight="fals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</row>
    <row r="200" customFormat="false" ht="12.8" hidden="false" customHeight="fals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</row>
    <row r="201" customFormat="false" ht="12.8" hidden="false" customHeight="fals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2" customFormat="false" ht="12.8" hidden="false" customHeight="fals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</row>
    <row r="203" customFormat="false" ht="12.8" hidden="false" customHeight="fals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</row>
    <row r="204" customFormat="false" ht="12.8" hidden="false" customHeight="fals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</row>
    <row r="205" customFormat="false" ht="12.8" hidden="false" customHeight="fals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</row>
    <row r="206" customFormat="false" ht="12.8" hidden="false" customHeight="fals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</row>
    <row r="207" customFormat="false" ht="12.8" hidden="false" customHeight="fals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</row>
    <row r="208" customFormat="false" ht="12.8" hidden="false" customHeight="fals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</row>
    <row r="209" customFormat="false" ht="12.8" hidden="false" customHeight="fals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</row>
    <row r="210" customFormat="false" ht="12.8" hidden="false" customHeight="fals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</row>
    <row r="211" customFormat="false" ht="12.8" hidden="false" customHeight="fals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</row>
    <row r="212" customFormat="false" ht="12.8" hidden="false" customHeight="fals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</row>
    <row r="213" customFormat="false" ht="12.8" hidden="false" customHeight="fals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</row>
    <row r="214" customFormat="false" ht="12.8" hidden="false" customHeight="fals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</row>
    <row r="215" customFormat="false" ht="12.8" hidden="false" customHeight="fals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</row>
    <row r="216" customFormat="false" ht="12.8" hidden="false" customHeight="fals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</row>
    <row r="217" customFormat="false" ht="12.8" hidden="false" customHeight="fals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</row>
    <row r="218" customFormat="false" ht="12.8" hidden="false" customHeight="fals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</row>
    <row r="219" customFormat="false" ht="12.8" hidden="false" customHeight="fals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</row>
    <row r="220" customFormat="false" ht="12.8" hidden="false" customHeight="fals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</row>
    <row r="221" customFormat="false" ht="12.8" hidden="false" customHeight="fals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</row>
    <row r="222" customFormat="false" ht="12.8" hidden="false" customHeight="fals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</row>
    <row r="223" customFormat="false" ht="12.8" hidden="false" customHeight="fals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</row>
    <row r="224" customFormat="false" ht="12.8" hidden="false" customHeight="fals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</row>
    <row r="225" customFormat="false" ht="12.8" hidden="false" customHeight="fals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</row>
    <row r="226" customFormat="false" ht="12.8" hidden="false" customHeight="fals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</row>
    <row r="227" customFormat="false" ht="12.8" hidden="false" customHeight="fals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>Кирилл  Гарбут</cp:lastModifiedBy>
  <dcterms:modified xsi:type="dcterms:W3CDTF">2026-09-01T21:44:02Z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